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.fdossantos\Downloads\"/>
    </mc:Choice>
  </mc:AlternateContent>
  <xr:revisionPtr revIDLastSave="0" documentId="13_ncr:1_{25EDE1C3-CADB-4A4B-A9C3-B5EA43F1E9DE}" xr6:coauthVersionLast="47" xr6:coauthVersionMax="47" xr10:uidLastSave="{00000000-0000-0000-0000-000000000000}"/>
  <bookViews>
    <workbookView xWindow="-110" yWindow="-110" windowWidth="19420" windowHeight="10300" tabRatio="0" xr2:uid="{1BC04FEF-1124-4419-A1F2-23CAB96D2441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Planilha1!$D$12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C38" i="1"/>
  <c r="C39" i="1"/>
  <c r="C40" i="1"/>
  <c r="C41" i="1"/>
  <c r="C42" i="1"/>
  <c r="C37" i="1"/>
  <c r="G2" i="2"/>
  <c r="A15" i="2"/>
  <c r="A16" i="2"/>
  <c r="A17" i="2"/>
  <c r="A18" i="2"/>
  <c r="A19" i="2"/>
  <c r="A14" i="2"/>
  <c r="A9" i="2"/>
  <c r="A10" i="2"/>
  <c r="A11" i="2"/>
  <c r="A12" i="2"/>
  <c r="A13" i="2"/>
  <c r="A8" i="2"/>
  <c r="A3" i="2"/>
  <c r="A4" i="2"/>
  <c r="A5" i="2"/>
  <c r="A6" i="2"/>
  <c r="A7" i="2"/>
  <c r="A2" i="2"/>
  <c r="D21" i="1"/>
  <c r="D22" i="1" s="1"/>
  <c r="D13" i="1"/>
  <c r="C26" i="1"/>
  <c r="D26" i="1" s="1"/>
  <c r="C27" i="1"/>
  <c r="D27" i="1" s="1"/>
  <c r="C28" i="1"/>
  <c r="D28" i="1" s="1"/>
  <c r="C29" i="1"/>
  <c r="D29" i="1" s="1"/>
  <c r="C25" i="1"/>
  <c r="D25" i="1" s="1"/>
  <c r="D37" i="1" l="1"/>
  <c r="D39" i="1"/>
  <c r="D40" i="1"/>
  <c r="D41" i="1"/>
  <c r="D42" i="1"/>
  <c r="D38" i="1"/>
  <c r="D43" i="1" l="1"/>
</calcChain>
</file>

<file path=xl/sharedStrings.xml><?xml version="1.0" encoding="utf-8"?>
<sst xmlns="http://schemas.openxmlformats.org/spreadsheetml/2006/main" count="70" uniqueCount="36">
  <si>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</si>
  <si>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</si>
  <si>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</si>
  <si>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</si>
  <si>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</si>
  <si>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</si>
  <si>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</si>
  <si>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</si>
  <si>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</si>
  <si>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</si>
  <si>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</si>
  <si>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</si>
  <si>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</si>
  <si>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</si>
  <si>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Sugestão de investimento</t>
  </si>
  <si>
    <t>CONFIGURAÇÃO</t>
  </si>
  <si>
    <t>Salários</t>
  </si>
  <si>
    <t>Perfil</t>
  </si>
  <si>
    <t>Conservador</t>
  </si>
  <si>
    <t>Moderado</t>
  </si>
  <si>
    <t>Valor a ser investido por mês</t>
  </si>
  <si>
    <t>Tipo de FII</t>
  </si>
  <si>
    <t xml:space="preserve">Percentual sugerido 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</si>
  <si>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</si>
  <si>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</si>
  <si>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</si>
  <si>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</si>
  <si>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</si>
  <si>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</si>
  <si>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</si>
  <si>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</si>
  <si>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TIPO DE FII</t>
  </si>
  <si>
    <t>%</t>
  </si>
  <si>
    <t>CHAVE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</si>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</sst>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0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"/>
      <family val="2"/>
    </font>
    <font>
      <b/>
      <sz val="18"/>
      <color theme="0"/>
      <name val="Aptos"/>
      <family val="2"/>
    </font>
    <font>
      <sz val="14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Aptos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medium">
        <color indexed="64"/>
      </right>
      <top style="thin">
        <color auto="1"/>
      </top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3" xfId="0" applyBorder="1"/>
    <xf numFmtId="0" fontId="7" fillId="3" borderId="0" xfId="0" applyFont="1" applyFill="1" applyBorder="1" applyAlignment="1">
      <alignment horizontal="center"/>
    </xf>
    <xf numFmtId="0" fontId="7" fillId="5" borderId="0" xfId="0" applyFont="1" applyFill="1" applyBorder="1" applyAlignment="1"/>
    <xf numFmtId="0" fontId="0" fillId="5" borderId="0" xfId="0" applyFill="1"/>
    <xf numFmtId="0" fontId="4" fillId="5" borderId="0" xfId="0" applyFont="1" applyFill="1" applyBorder="1"/>
    <xf numFmtId="0" fontId="5" fillId="0" borderId="0" xfId="0" applyFont="1" applyBorder="1"/>
    <xf numFmtId="0" fontId="12" fillId="5" borderId="0" xfId="0" applyFont="1" applyFill="1" applyBorder="1"/>
    <xf numFmtId="0" fontId="5" fillId="5" borderId="0" xfId="0" applyFont="1" applyFill="1"/>
    <xf numFmtId="0" fontId="7" fillId="3" borderId="6" xfId="0" applyFont="1" applyFill="1" applyBorder="1" applyAlignment="1">
      <alignment horizontal="center"/>
    </xf>
    <xf numFmtId="0" fontId="13" fillId="0" borderId="0" xfId="0" applyFont="1"/>
    <xf numFmtId="0" fontId="14" fillId="3" borderId="0" xfId="0" applyFont="1" applyFill="1" applyBorder="1" applyAlignment="1">
      <alignment horizontal="center"/>
    </xf>
    <xf numFmtId="0" fontId="0" fillId="7" borderId="7" xfId="0" applyFill="1" applyBorder="1"/>
    <xf numFmtId="0" fontId="6" fillId="6" borderId="0" xfId="0" applyFont="1" applyFill="1" applyBorder="1" applyAlignment="1">
      <alignment horizontal="center"/>
    </xf>
    <xf numFmtId="8" fontId="0" fillId="7" borderId="7" xfId="0" applyNumberForma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170" fontId="9" fillId="0" borderId="9" xfId="1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0" fontId="9" fillId="0" borderId="9" xfId="2" applyNumberFormat="1" applyFont="1" applyBorder="1" applyAlignment="1">
      <alignment horizontal="center"/>
    </xf>
    <xf numFmtId="8" fontId="11" fillId="4" borderId="9" xfId="0" applyNumberFormat="1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/>
    </xf>
    <xf numFmtId="170" fontId="0" fillId="0" borderId="13" xfId="1" applyNumberFormat="1" applyFont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9" fontId="0" fillId="0" borderId="11" xfId="0" applyNumberFormat="1" applyFont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/>
    </xf>
    <xf numFmtId="170" fontId="0" fillId="7" borderId="11" xfId="1" applyNumberFormat="1" applyFont="1" applyFill="1" applyBorder="1" applyAlignment="1">
      <alignment horizontal="center"/>
    </xf>
    <xf numFmtId="170" fontId="0" fillId="0" borderId="0" xfId="0" applyNumberFormat="1"/>
    <xf numFmtId="0" fontId="0" fillId="6" borderId="0" xfId="0" applyFill="1" applyAlignment="1">
      <alignment horizontal="center"/>
    </xf>
    <xf numFmtId="0" fontId="16" fillId="6" borderId="0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5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/>
    <xf numFmtId="0" fontId="3" fillId="8" borderId="0" xfId="0" applyFont="1" applyFill="1"/>
    <xf numFmtId="0" fontId="11" fillId="4" borderId="0" xfId="0" applyFont="1" applyFill="1" applyBorder="1" applyAlignment="1">
      <alignment horizontal="center"/>
    </xf>
    <xf numFmtId="170" fontId="11" fillId="4" borderId="0" xfId="1" applyNumberFormat="1" applyFont="1" applyFill="1" applyAlignment="1">
      <alignment horizontal="center"/>
    </xf>
    <xf numFmtId="170" fontId="15" fillId="8" borderId="0" xfId="0" applyNumberFormat="1" applyFont="1" applyFill="1"/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2" fillId="2" borderId="0" xfId="3"/>
    <xf numFmtId="9" fontId="2" fillId="2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Planilha1!$C$36</c:f>
              <c:strCache>
                <c:ptCount val="1"/>
                <c:pt idx="0">
                  <c:v>Percentual sugerido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A1-44F8-8B47-D3E7D0E83C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A1-44F8-8B47-D3E7D0E83C3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1-44F8-8B47-D3E7D0E83C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blog.daycoval.com.br/planos-de-investimentos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330486</xdr:colOff>
      <xdr:row>0</xdr:row>
      <xdr:rowOff>50800</xdr:rowOff>
    </xdr:from>
    <xdr:to>
      <xdr:col>4</xdr:col>
      <xdr:colOff>164814</xdr:colOff>
      <xdr:row>8</xdr:row>
      <xdr:rowOff>25400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1172BAB-C130-442A-5995-471825BD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330486" y="50800"/>
          <a:ext cx="7428928" cy="14478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>
    <xdr:from>
      <xdr:col>1</xdr:col>
      <xdr:colOff>31750</xdr:colOff>
      <xdr:row>44</xdr:row>
      <xdr:rowOff>0</xdr:rowOff>
    </xdr:from>
    <xdr:to>
      <xdr:col>4</xdr:col>
      <xdr:colOff>57150</xdr:colOff>
      <xdr:row>58</xdr:row>
      <xdr:rowOff>165100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DF166A0-38DA-1233-375E-033B19643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5C62-2AF7-42FD-9407-221AC5A501EF}">
  <dimension ref="A10:K69"/>
  <sheetViews>
    <sheetView showGridLines="0" showRowColHeaders="0" tabSelected="1" topLeftCell="A41" zoomScaleNormal="100" workbookViewId="0">
      <selection activeCell="E57" sqref="E57"/>
    </sheetView>
  </sheetViews>
  <sheetFormatPr defaultColWidth="0" defaultRowHeight="14.5" x14ac:dyDescent="0.35"/>
  <cols>
    <col min="1" max="1" width="8.7265625" customWidth="1"/>
    <col min="2" max="2" width="33.08984375" bestFit="1" customWidth="1"/>
    <col min="3" max="3" width="52.453125" customWidth="1"/>
    <col min="4" max="4" width="14.453125" bestFit="1" customWidth="1"/>
    <col min="5" max="5" width="17.1796875" customWidth="1"/>
    <col min="6" max="6" width="1.1796875" customWidth="1"/>
    <col min="7" max="7" width="1.08984375" customWidth="1"/>
    <col min="12" max="16384" width="8.7265625" hidden="1"/>
  </cols>
  <sheetData>
    <row r="10" spans="2:4" ht="16.5" thickBot="1" x14ac:dyDescent="0.45">
      <c r="B10" s="18" t="s">
        <v>15</v>
      </c>
      <c r="C10" s="15"/>
      <c r="D10" s="19"/>
    </row>
    <row r="11" spans="2:4" ht="18.5" x14ac:dyDescent="0.45">
      <c r="B11" s="30" t="s">
        <v>16</v>
      </c>
      <c r="C11" s="24"/>
      <c r="D11" s="31">
        <v>2000</v>
      </c>
    </row>
    <row r="12" spans="2:4" ht="18.5" x14ac:dyDescent="0.45">
      <c r="B12" s="32" t="s">
        <v>13</v>
      </c>
      <c r="C12" s="25"/>
      <c r="D12" s="33">
        <v>0.01</v>
      </c>
    </row>
    <row r="13" spans="2:4" ht="18.5" x14ac:dyDescent="0.45">
      <c r="B13" s="34" t="s">
        <v>14</v>
      </c>
      <c r="C13" s="35"/>
      <c r="D13" s="36">
        <f>D11*30%</f>
        <v>600</v>
      </c>
    </row>
    <row r="17" spans="1:11" ht="23.5" x14ac:dyDescent="0.55000000000000004">
      <c r="B17" s="11" t="s">
        <v>5</v>
      </c>
      <c r="C17" s="4"/>
      <c r="D17" s="17"/>
      <c r="G17" s="5"/>
      <c r="H17" s="5"/>
      <c r="I17" s="5"/>
      <c r="J17" s="6"/>
    </row>
    <row r="18" spans="1:11" ht="18.5" x14ac:dyDescent="0.45">
      <c r="B18" s="26" t="s">
        <v>0</v>
      </c>
      <c r="C18" s="27"/>
      <c r="D18" s="20">
        <v>50</v>
      </c>
      <c r="G18" s="2"/>
      <c r="H18" s="2"/>
      <c r="I18" s="2"/>
    </row>
    <row r="19" spans="1:11" ht="18.5" x14ac:dyDescent="0.45">
      <c r="B19" s="26" t="s">
        <v>1</v>
      </c>
      <c r="C19" s="27"/>
      <c r="D19" s="21">
        <v>5</v>
      </c>
      <c r="G19" s="2"/>
      <c r="H19" s="2"/>
      <c r="I19" s="2"/>
      <c r="K19" s="1"/>
    </row>
    <row r="20" spans="1:11" ht="18.5" x14ac:dyDescent="0.45">
      <c r="B20" s="26" t="s">
        <v>2</v>
      </c>
      <c r="C20" s="27"/>
      <c r="D20" s="22">
        <v>1.0789999999999999E-2</v>
      </c>
      <c r="G20" s="2"/>
      <c r="H20" s="2"/>
      <c r="I20" s="2"/>
    </row>
    <row r="21" spans="1:11" ht="18.5" x14ac:dyDescent="0.45">
      <c r="B21" s="28" t="s">
        <v>3</v>
      </c>
      <c r="C21" s="29"/>
      <c r="D21" s="23">
        <f>FV(taxa_mensal,qtd_anos*12,aporte*-1)</f>
        <v>4188.8456999243817</v>
      </c>
      <c r="E21" s="9"/>
      <c r="F21" s="7"/>
      <c r="G21" s="7"/>
      <c r="H21" s="7"/>
      <c r="I21" s="7"/>
    </row>
    <row r="22" spans="1:11" ht="18.5" x14ac:dyDescent="0.45">
      <c r="B22" s="28" t="s">
        <v>4</v>
      </c>
      <c r="C22" s="29"/>
      <c r="D22" s="23">
        <f>Patrimonio*Rendimento_carteira</f>
        <v>41.888456999243822</v>
      </c>
      <c r="E22" s="9"/>
      <c r="F22" s="7"/>
      <c r="G22" s="7"/>
      <c r="H22" s="7"/>
      <c r="I22" s="7"/>
    </row>
    <row r="23" spans="1:11" x14ac:dyDescent="0.35">
      <c r="D23" s="8"/>
      <c r="E23" s="8"/>
    </row>
    <row r="24" spans="1:11" ht="24" thickBot="1" x14ac:dyDescent="0.6">
      <c r="B24" s="11" t="s">
        <v>11</v>
      </c>
      <c r="C24" s="4"/>
      <c r="D24" s="13" t="s">
        <v>12</v>
      </c>
    </row>
    <row r="25" spans="1:11" ht="15.5" thickTop="1" thickBot="1" x14ac:dyDescent="0.4">
      <c r="A25" s="10">
        <v>2</v>
      </c>
      <c r="B25" s="14" t="s">
        <v>6</v>
      </c>
      <c r="C25" s="16">
        <f>FV($D$20,$A25*12,$D$18*-1)</f>
        <v>1361.3813648822609</v>
      </c>
      <c r="D25" s="16">
        <f>C25*Rendimento_carteira</f>
        <v>13.613813648822608</v>
      </c>
    </row>
    <row r="26" spans="1:11" ht="15.5" thickTop="1" thickBot="1" x14ac:dyDescent="0.4">
      <c r="A26" s="10">
        <v>5</v>
      </c>
      <c r="B26" s="14" t="s">
        <v>7</v>
      </c>
      <c r="C26" s="16">
        <f>FV($D$20,$A26*12,$D$18*-1)</f>
        <v>4188.8456999243817</v>
      </c>
      <c r="D26" s="16">
        <f>C26*Rendimento_carteira</f>
        <v>41.888456999243822</v>
      </c>
    </row>
    <row r="27" spans="1:11" ht="15.5" thickTop="1" thickBot="1" x14ac:dyDescent="0.4">
      <c r="A27" s="10">
        <v>10</v>
      </c>
      <c r="B27" s="14" t="s">
        <v>8</v>
      </c>
      <c r="C27" s="16">
        <f>FV($D$20,$A27*12,$D$18*-1)</f>
        <v>12164.210626508609</v>
      </c>
      <c r="D27" s="16">
        <f>C27*Rendimento_carteira</f>
        <v>121.6421062650861</v>
      </c>
      <c r="F27" s="2"/>
    </row>
    <row r="28" spans="1:11" ht="15.5" thickTop="1" thickBot="1" x14ac:dyDescent="0.4">
      <c r="A28" s="10">
        <v>20</v>
      </c>
      <c r="B28" s="14" t="s">
        <v>9</v>
      </c>
      <c r="C28" s="16">
        <f>FV($D$20,$A28*12,$D$18*-1)</f>
        <v>56259.92000485403</v>
      </c>
      <c r="D28" s="16">
        <f>C28*Rendimento_carteira</f>
        <v>562.5992000485403</v>
      </c>
      <c r="G28" s="12"/>
    </row>
    <row r="29" spans="1:11" ht="15.5" thickTop="1" thickBot="1" x14ac:dyDescent="0.4">
      <c r="A29" s="10">
        <v>30</v>
      </c>
      <c r="B29" s="14" t="s">
        <v>10</v>
      </c>
      <c r="C29" s="16">
        <f>FV($D$20,$A29*12,$D$18*-1)</f>
        <v>216108.48275023574</v>
      </c>
      <c r="D29" s="16">
        <f>C29*Rendimento_carteira</f>
        <v>2161.0848275023573</v>
      </c>
    </row>
    <row r="30" spans="1:11" ht="15" thickTop="1" x14ac:dyDescent="0.35"/>
    <row r="32" spans="1:11" ht="16" x14ac:dyDescent="0.4">
      <c r="B32" s="39" t="s">
        <v>17</v>
      </c>
      <c r="C32" s="38" t="s">
        <v>19</v>
      </c>
      <c r="D32" s="38"/>
    </row>
    <row r="33" spans="2:4" ht="18.5" x14ac:dyDescent="0.45">
      <c r="B33" s="45" t="s">
        <v>20</v>
      </c>
      <c r="C33" s="46">
        <f>aporte</f>
        <v>50</v>
      </c>
      <c r="D33" s="46"/>
    </row>
    <row r="36" spans="2:4" ht="16" x14ac:dyDescent="0.4">
      <c r="B36" s="41" t="s">
        <v>21</v>
      </c>
      <c r="C36" s="42" t="s">
        <v>22</v>
      </c>
      <c r="D36" s="43" t="s">
        <v>23</v>
      </c>
    </row>
    <row r="37" spans="2:4" x14ac:dyDescent="0.35">
      <c r="B37" s="1" t="s">
        <v>24</v>
      </c>
      <c r="C37" s="40">
        <f>VLOOKUP($C$32&amp;"-"&amp;B37,Planilha2!$A:$D,4,FALSE)</f>
        <v>0.32</v>
      </c>
      <c r="D37" s="37">
        <f>C37*$C$33</f>
        <v>16</v>
      </c>
    </row>
    <row r="38" spans="2:4" x14ac:dyDescent="0.35">
      <c r="B38" s="1" t="s">
        <v>25</v>
      </c>
      <c r="C38" s="40">
        <f>VLOOKUP($C$32&amp;"-"&amp;B38,Planilha2!$A:$D,4,FALSE)</f>
        <v>0.4</v>
      </c>
      <c r="D38" s="37">
        <f t="shared" ref="D38:D42" si="0">C38*$C$33</f>
        <v>20</v>
      </c>
    </row>
    <row r="39" spans="2:4" x14ac:dyDescent="0.35">
      <c r="B39" s="1" t="s">
        <v>26</v>
      </c>
      <c r="C39" s="40">
        <f>VLOOKUP($C$32&amp;"-"&amp;B39,Planilha2!$A:$D,4,FALSE)</f>
        <v>0.08</v>
      </c>
      <c r="D39" s="37">
        <f t="shared" si="0"/>
        <v>4</v>
      </c>
    </row>
    <row r="40" spans="2:4" x14ac:dyDescent="0.35">
      <c r="B40" s="1" t="s">
        <v>27</v>
      </c>
      <c r="C40" s="40">
        <f>VLOOKUP($C$32&amp;"-"&amp;B40,Planilha2!$A:$D,4,FALSE)</f>
        <v>0.1</v>
      </c>
      <c r="D40" s="37">
        <f t="shared" si="0"/>
        <v>5</v>
      </c>
    </row>
    <row r="41" spans="2:4" x14ac:dyDescent="0.35">
      <c r="B41" s="1" t="s">
        <v>28</v>
      </c>
      <c r="C41" s="40">
        <f>VLOOKUP($C$32&amp;"-"&amp;B41,Planilha2!$A:$D,4,FALSE)</f>
        <v>0.1</v>
      </c>
      <c r="D41" s="37">
        <f t="shared" si="0"/>
        <v>5</v>
      </c>
    </row>
    <row r="42" spans="2:4" x14ac:dyDescent="0.35">
      <c r="B42" s="1" t="s">
        <v>29</v>
      </c>
      <c r="C42" s="40">
        <f>VLOOKUP($C$32&amp;"-"&amp;B42,Planilha2!$A:$D,4,FALSE)</f>
        <v>0.1</v>
      </c>
      <c r="D42" s="37">
        <f t="shared" si="0"/>
        <v>5</v>
      </c>
    </row>
    <row r="43" spans="2:4" ht="16" x14ac:dyDescent="0.4">
      <c r="B43" s="44"/>
      <c r="C43" s="44"/>
      <c r="D43" s="47">
        <f>SUM(D37:D42)</f>
        <v>55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</sheetData>
  <mergeCells count="13">
    <mergeCell ref="C32:D32"/>
    <mergeCell ref="C33:D33"/>
    <mergeCell ref="B17:D17"/>
    <mergeCell ref="B18:C18"/>
    <mergeCell ref="B19:C19"/>
    <mergeCell ref="B20:C20"/>
    <mergeCell ref="B21:C21"/>
    <mergeCell ref="B10:D10"/>
    <mergeCell ref="B11:C11"/>
    <mergeCell ref="B12:C12"/>
    <mergeCell ref="B13:C13"/>
    <mergeCell ref="B24:C24"/>
    <mergeCell ref="B22:C22"/>
  </mergeCells>
  <dataValidations count="1">
    <dataValidation type="list" allowBlank="1" showInputMessage="1" showErrorMessage="1" sqref="C32" xr:uid="{6B93B375-3200-48E0-AE3B-0234D1547DCC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0D6B-6352-4057-BFAA-7972EB6196E8}">
  <dimension ref="A1:G19"/>
  <sheetViews>
    <sheetView workbookViewId="0">
      <selection sqref="A1:XFD1"/>
    </sheetView>
  </sheetViews>
  <sheetFormatPr defaultRowHeight="14.5" x14ac:dyDescent="0.35"/>
  <cols>
    <col min="1" max="1" width="26" bestFit="1" customWidth="1"/>
    <col min="2" max="2" width="11.08984375" bestFit="1" customWidth="1"/>
    <col min="3" max="3" width="14.81640625" bestFit="1" customWidth="1"/>
    <col min="6" max="6" width="13.90625" bestFit="1" customWidth="1"/>
  </cols>
  <sheetData>
    <row r="1" spans="1:7" x14ac:dyDescent="0.35">
      <c r="A1" t="s">
        <v>33</v>
      </c>
      <c r="B1" t="s">
        <v>30</v>
      </c>
      <c r="C1" t="s">
        <v>31</v>
      </c>
      <c r="D1" s="1" t="s">
        <v>32</v>
      </c>
    </row>
    <row r="2" spans="1:7" x14ac:dyDescent="0.35">
      <c r="A2" t="str">
        <f>$B$2&amp;"-"&amp;C2</f>
        <v>Conservador-Papel</v>
      </c>
      <c r="B2" t="s">
        <v>18</v>
      </c>
      <c r="C2" s="1" t="s">
        <v>24</v>
      </c>
      <c r="D2" s="40">
        <v>0.3</v>
      </c>
      <c r="F2" s="50" t="s">
        <v>35</v>
      </c>
      <c r="G2" s="51">
        <f>VLOOKUP(F2,$A:$D,4,)</f>
        <v>0.4</v>
      </c>
    </row>
    <row r="3" spans="1:7" x14ac:dyDescent="0.35">
      <c r="A3" t="str">
        <f t="shared" ref="A3:A7" si="0">$B$2&amp;"-"&amp;C3</f>
        <v>Conservador-Tijolo</v>
      </c>
      <c r="B3" t="s">
        <v>18</v>
      </c>
      <c r="C3" s="1" t="s">
        <v>25</v>
      </c>
      <c r="D3" s="40">
        <v>0.5</v>
      </c>
    </row>
    <row r="4" spans="1:7" x14ac:dyDescent="0.35">
      <c r="A4" t="str">
        <f t="shared" si="0"/>
        <v>Conservador-Híbridos</v>
      </c>
      <c r="B4" t="s">
        <v>18</v>
      </c>
      <c r="C4" s="1" t="s">
        <v>26</v>
      </c>
      <c r="D4" s="40">
        <v>0.1</v>
      </c>
    </row>
    <row r="5" spans="1:7" x14ac:dyDescent="0.35">
      <c r="A5" t="str">
        <f t="shared" si="0"/>
        <v>Conservador-Fofs</v>
      </c>
      <c r="B5" t="s">
        <v>18</v>
      </c>
      <c r="C5" s="1" t="s">
        <v>27</v>
      </c>
      <c r="D5" s="40">
        <v>0.1</v>
      </c>
    </row>
    <row r="6" spans="1:7" x14ac:dyDescent="0.35">
      <c r="A6" t="str">
        <f t="shared" si="0"/>
        <v>Conservador-Desenvolvimento</v>
      </c>
      <c r="B6" t="s">
        <v>18</v>
      </c>
      <c r="C6" s="1" t="s">
        <v>28</v>
      </c>
      <c r="D6" s="40">
        <v>0</v>
      </c>
    </row>
    <row r="7" spans="1:7" ht="15" thickBot="1" x14ac:dyDescent="0.4">
      <c r="A7" s="3" t="str">
        <f t="shared" si="0"/>
        <v>Conservador-Hotelarias</v>
      </c>
      <c r="B7" s="3" t="s">
        <v>18</v>
      </c>
      <c r="C7" s="48" t="s">
        <v>29</v>
      </c>
      <c r="D7" s="49">
        <v>0</v>
      </c>
    </row>
    <row r="8" spans="1:7" x14ac:dyDescent="0.35">
      <c r="A8" t="str">
        <f>$B$8&amp;"-"&amp;C8</f>
        <v>Moderado-Papel</v>
      </c>
      <c r="B8" t="s">
        <v>19</v>
      </c>
      <c r="C8" s="1" t="s">
        <v>24</v>
      </c>
      <c r="D8" s="40">
        <v>0.32</v>
      </c>
    </row>
    <row r="9" spans="1:7" x14ac:dyDescent="0.35">
      <c r="A9" t="str">
        <f t="shared" ref="A9:A13" si="1">$B$8&amp;"-"&amp;C9</f>
        <v>Moderado-Tijolo</v>
      </c>
      <c r="B9" t="s">
        <v>19</v>
      </c>
      <c r="C9" s="1" t="s">
        <v>25</v>
      </c>
      <c r="D9" s="40">
        <v>0.4</v>
      </c>
    </row>
    <row r="10" spans="1:7" x14ac:dyDescent="0.35">
      <c r="A10" t="str">
        <f t="shared" si="1"/>
        <v>Moderado-Híbridos</v>
      </c>
      <c r="B10" t="s">
        <v>19</v>
      </c>
      <c r="C10" s="1" t="s">
        <v>26</v>
      </c>
      <c r="D10" s="40">
        <v>0.08</v>
      </c>
    </row>
    <row r="11" spans="1:7" x14ac:dyDescent="0.35">
      <c r="A11" t="str">
        <f t="shared" si="1"/>
        <v>Moderado-Fofs</v>
      </c>
      <c r="B11" t="s">
        <v>19</v>
      </c>
      <c r="C11" s="1" t="s">
        <v>27</v>
      </c>
      <c r="D11" s="40">
        <v>0.1</v>
      </c>
    </row>
    <row r="12" spans="1:7" x14ac:dyDescent="0.35">
      <c r="A12" t="str">
        <f t="shared" si="1"/>
        <v>Moderado-Desenvolvimento</v>
      </c>
      <c r="B12" t="s">
        <v>19</v>
      </c>
      <c r="C12" s="1" t="s">
        <v>28</v>
      </c>
      <c r="D12" s="40">
        <v>0.1</v>
      </c>
    </row>
    <row r="13" spans="1:7" ht="15" thickBot="1" x14ac:dyDescent="0.4">
      <c r="A13" s="3" t="str">
        <f t="shared" si="1"/>
        <v>Moderado-Hotelarias</v>
      </c>
      <c r="B13" s="3" t="s">
        <v>19</v>
      </c>
      <c r="C13" s="48" t="s">
        <v>29</v>
      </c>
      <c r="D13" s="49">
        <v>0.1</v>
      </c>
    </row>
    <row r="14" spans="1:7" x14ac:dyDescent="0.35">
      <c r="A14" t="str">
        <f>$B$14&amp;"-"&amp;C14</f>
        <v>Agressivo-Papel</v>
      </c>
      <c r="B14" t="s">
        <v>34</v>
      </c>
      <c r="C14" s="1" t="s">
        <v>24</v>
      </c>
      <c r="D14" s="40">
        <v>0.5</v>
      </c>
    </row>
    <row r="15" spans="1:7" x14ac:dyDescent="0.35">
      <c r="A15" t="str">
        <f t="shared" ref="A15:A19" si="2">$B$14&amp;"-"&amp;C15</f>
        <v>Agressivo-Tijolo</v>
      </c>
      <c r="B15" t="s">
        <v>34</v>
      </c>
      <c r="C15" s="1" t="s">
        <v>25</v>
      </c>
      <c r="D15" s="40">
        <v>0.1</v>
      </c>
    </row>
    <row r="16" spans="1:7" x14ac:dyDescent="0.35">
      <c r="A16" t="str">
        <f t="shared" si="2"/>
        <v>Agressivo-Híbridos</v>
      </c>
      <c r="B16" t="s">
        <v>34</v>
      </c>
      <c r="C16" s="1" t="s">
        <v>26</v>
      </c>
      <c r="D16" s="40">
        <v>0.05</v>
      </c>
    </row>
    <row r="17" spans="1:4" x14ac:dyDescent="0.35">
      <c r="A17" t="str">
        <f t="shared" si="2"/>
        <v>Agressivo-Fofs</v>
      </c>
      <c r="B17" t="s">
        <v>34</v>
      </c>
      <c r="C17" s="1" t="s">
        <v>27</v>
      </c>
      <c r="D17" s="40">
        <v>0.05</v>
      </c>
    </row>
    <row r="18" spans="1:4" x14ac:dyDescent="0.35">
      <c r="A18" t="str">
        <f t="shared" si="2"/>
        <v>Agressivo-Desenvolvimento</v>
      </c>
      <c r="B18" t="s">
        <v>34</v>
      </c>
      <c r="C18" s="1" t="s">
        <v>28</v>
      </c>
      <c r="D18" s="40">
        <v>0.2</v>
      </c>
    </row>
    <row r="19" spans="1:4" x14ac:dyDescent="0.35">
      <c r="A19" t="str">
        <f t="shared" si="2"/>
        <v>Agressivo-Hotelarias</v>
      </c>
      <c r="B19" t="s">
        <v>34</v>
      </c>
      <c r="C19" s="1" t="s">
        <v>29</v>
      </c>
      <c r="D19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Ferreira dos Santos</dc:creator>
  <cp:lastModifiedBy>Fernando Ferreira dos Santos</cp:lastModifiedBy>
  <dcterms:created xsi:type="dcterms:W3CDTF">2026-10-01T13:51:17Z</dcterms:created>
  <dcterms:modified xsi:type="dcterms:W3CDTF">2026-10-01T17:44:13Z</dcterms:modified>
</cp:coreProperties>
</file>