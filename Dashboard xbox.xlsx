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ernando.fdossantos\Downloads\"/>
    </mc:Choice>
  </mc:AlternateContent>
  <xr:revisionPtr revIDLastSave="0" documentId="13_ncr:1_{98A33AB0-2768-4E6B-A932-399BF75B0ECC}" xr6:coauthVersionLast="47" xr6:coauthVersionMax="47" xr10:uidLastSave="{00000000-0000-0000-0000-000000000000}"/>
  <bookViews>
    <workbookView xWindow="-110" yWindow="-110" windowWidth="19420" windowHeight="10300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23" i="3"/>
</calcChain>
</file>

<file path=xl/sharedStrings.xml><?xml version="1.0" encoding="utf-8"?>
<sst xmlns="http://schemas.openxmlformats.org/spreadsheetml/2006/main" count="2781" uniqueCount="327">
  <si>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</si>
  <si>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</si>
  <si>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</si>
  <si>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</si>
  <si>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</si>
  <si>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</si>
  <si>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</si>
  <si>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</si>
  <si>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</si>
  <si>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</si>
  <si>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</si>
  <si>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</si>
  <si>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</si>
  <si>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</si>
  <si>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</si>
  <si>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</si>
  <si>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</si>
  <si>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</si>
  <si>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</si>
  <si>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</si>
  <si>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</si>
  <si>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</si>
  <si>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</si>
  <si>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</si>
  <si>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</si>
  <si>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</si>
  <si>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</si>
  <si>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</si>
  <si>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</si>
  <si>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</si>
  <si>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</si>
  <si>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</si>
  <si>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</si>
  <si>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</si>
  <si>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</si>
  <si>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</si>
  <si>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</si>
  <si>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</si>
  <si>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</si>
  <si>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</si>
  <si>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</si>
  <si>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</si>
  <si>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</si>
  <si>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</si>
  <si>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</si>
  <si>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</si>
  <si>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</si>
  <si>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</si>
  <si>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</si>
  <si>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</si>
  <si>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</si>
  <si>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</si>
  <si>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</si>
  <si>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</si>
  <si>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</si>
  <si>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</si>
  <si>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</si>
  <si>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</si>
  <si>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</si>
  <si>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</si>
  <si>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</si>
  <si>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</si>
  <si>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</si>
  <si>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</si>
  <si>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</si>
  <si>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</si>
  <si>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</si>
  <si>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</si>
  <si>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</si>
  <si>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</si>
  <si>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</si>
  <si>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</si>
  <si>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</si>
  <si>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</si>
  <si>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</si>
  <si>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</si>
  <si>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</si>
  <si>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</si>
  <si>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</si>
  <si>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</si>
  <si>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</si>
  <si>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</si>
  <si>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</si>
  <si>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</si>
  <si>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</si>
  <si>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</si>
  <si>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</si>
  <si>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</si>
  <si>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</si>
  <si>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</si>
  <si>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</si>
  <si>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</si>
  <si>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</si>
  <si>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</si>
  <si>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</si>
  <si>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</si>
  <si>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</si>
  <si>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</si>
  <si>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</si>
  <si>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</si>
  <si>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</si>
  <si>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</si>
  <si>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</si>
  <si>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</si>
  <si>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</si>
  <si>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</si>
  <si>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</si>
  <si>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</si>
  <si>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</si>
  <si>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</si>
  <si>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</si>
  <si>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</si>
  <si>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</si>
  <si>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</si>
  <si>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</si>
  <si>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</si>
  <si>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</si>
  <si>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</si>
  <si>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</si>
  <si>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</si>
  <si>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</si>
  <si>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</si>
  <si>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</si>
  <si>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</si>
  <si>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</si>
  <si>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</si>
  <si>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</si>
  <si>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</si>
  <si>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</si>
  <si>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</si>
  <si>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</si>
  <si>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</si>
  <si>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</si>
  <si>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</si>
  <si>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</si>
  <si>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</si>
  <si>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</si>
  <si>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</si>
  <si>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</si>
  <si>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</si>
  <si>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</si>
  <si>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</si>
  <si>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</si>
  <si>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</si>
  <si>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</si>
  <si>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</si>
  <si>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</si>
  <si>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</si>
  <si>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</si>
  <si>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</si>
  <si>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</si>
  <si>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</si>
  <si>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</si>
  <si>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</si>
  <si>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</si>
  <si>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</si>
  <si>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</si>
  <si>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</si>
  <si>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</si>
  <si>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</si>
  <si>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</si>
  <si>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</si>
  <si>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</si>
  <si>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</si>
  <si>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</si>
  <si>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</si>
  <si>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</si>
  <si>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</si>
  <si>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</si>
  <si>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</si>
  <si>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</si>
  <si>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</si>
  <si>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</si>
  <si>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</si>
  <si>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</si>
  <si>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</si>
  <si>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</si>
  <si>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</si>
  <si>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</si>
  <si>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</si>
  <si>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</si>
  <si>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</si>
  <si>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</si>
  <si>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</si>
  <si>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</si>
  <si>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</si>
  <si>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</si>
  <si>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</si>
  <si>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</si>
  <si>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</si>
  <si>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</si>
  <si>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</si>
  <si>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</si>
  <si>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</si>
  <si>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</si>
  <si>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</si>
  <si>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</si>
  <si>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</si>
  <si>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</si>
  <si>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</si>
  <si>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</si>
  <si>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</si>
  <si>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</si>
  <si>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</si>
  <si>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</si>
  <si>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</si>
  <si>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</si>
  <si>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</si>
  <si>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</si>
  <si>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</si>
  <si>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</si>
  <si>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</si>
  <si>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</si>
  <si>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</si>
  <si>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</si>
  <si>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</si>
  <si>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</si>
  <si>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</si>
  <si>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</si>
  <si>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</si>
  <si>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</si>
  <si>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</si>
  <si>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</si>
  <si>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</si>
  <si>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</si>
  <si>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</si>
  <si>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</si>
  <si>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</si>
  <si>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</si>
  <si>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</si>
  <si>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</si>
  <si>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</si>
  <si>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</si>
  <si>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</si>
  <si>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</si>
  <si>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</si>
  <si>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</si>
  <si>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</si>
  <si>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</si>
  <si>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</si>
  <si>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</si>
  <si>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</si>
  <si>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</si>
  <si>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</si>
  <si>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</si>
  <si>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</si>
  <si>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</si>
  <si>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</si>
  <si>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</si>
  <si>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</si>
  <si>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</si>
  <si>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</si>
  <si>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</si>
  <si>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</si>
  <si>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</si>
  <si>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</si>
  <si>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</si>
  <si>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</si>
  <si>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</si>
  <si>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</si>
  <si>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</si>
  <si>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</si>
  <si>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</si>
  <si>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</si>
  <si>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</si>
  <si>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</si>
  <si>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</si>
  <si>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</si>
  <si>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</si>
  <si>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</si>
  <si>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</si>
  <si>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</si>
  <si>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</si>
  <si>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</si>
  <si>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</si>
  <si>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</si>
  <si>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</si>
  <si>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</si>
  <si>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</si>
  <si>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</si>
  <si>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</si>
  <si>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</si>
  <si>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</si>
  <si>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</si>
  <si>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</si>
  <si>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</si>
  <si>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</si>
  <si>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</si>
  <si>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</si>
  <si>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</si>
  <si>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</si>
  <si>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</si>
  <si>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</si>
  <si>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</si>
  <si>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</si>
  <si>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</si>
  <si>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</si>
  <si>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</si>
  <si>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</si>
  <si>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</si>
  <si>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</si>
  <si>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</si>
  <si>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</si>
  <si>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</si>
  <si>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</si>
  <si>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</si>
  <si>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</si>
  <si>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</si>
  <si>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</si>
  <si>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</si>
  <si>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</si>
  <si>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</si>
  <si>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</si>
  <si>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</si>
  <si>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</si>
  <si>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</si>
  <si>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Soma de Total Value</t>
  </si>
  <si>
    <t>É uma pergunta de negócio respondida atráves de alguma análise de dado específica</t>
  </si>
  <si>
    <t>Pergunta 1- Qual faturamento total de vendas de planos anuais( contendo todas as assinaturas agregadas)</t>
  </si>
  <si>
    <t>Pergunta 1- Qual faturamento total de vendas de planos anuais, separada por auto renovação não é por auto renovação</t>
  </si>
  <si>
    <t>Pergunta 3 - Total de vendas de assinaturas do EA Play</t>
  </si>
  <si>
    <t>Detalhes do Soma de Total Value - Auto Renewal: No, Subscription Type: Monthly</t>
  </si>
  <si>
    <t>Soma de EA Play Season Pass</t>
  </si>
  <si>
    <t>Pergunta Negócio 4 - Total de Vendas de Assinaturas do Minecraft Season Pass</t>
  </si>
  <si>
    <t xml:space="preserve">           XBOX GAME PASS SUBSCRIPTIONS SALES</t>
  </si>
  <si>
    <t>&gt; BEM VINDO FERNANDO</t>
  </si>
  <si>
    <t>PERIODO DE CALCULO: 14/10/2026 | DATA DA ULTIMA ATUALIZAÇÃO: 15/10/2026 15:06:00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</si>
</sst>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9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8"/>
      <color theme="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center"/>
    </xf>
    <xf numFmtId="14" fontId="0" fillId="0" borderId="0" xfId="0" applyNumberFormat="1"/>
    <xf numFmtId="0" fontId="3" fillId="0" borderId="0" xfId="0" applyFont="1"/>
    <xf numFmtId="0" fontId="0" fillId="0" borderId="0" xfId="0" applyNumberFormat="1"/>
    <xf numFmtId="165" fontId="0" fillId="0" borderId="0" xfId="0" applyNumberFormat="1"/>
    <xf numFmtId="0" fontId="8" fillId="0" borderId="2" xfId="1" applyFont="1" applyBorder="1" applyProtection="1">
      <protection locked="0"/>
    </xf>
    <xf numFmtId="0" fontId="8" fillId="0" borderId="2" xfId="1" applyFont="1" applyBorder="1" applyAlignment="1" applyProtection="1">
      <alignment horizontal="left" indent="4"/>
      <protection locked="0"/>
    </xf>
    <xf numFmtId="0" fontId="5" fillId="4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6" fillId="0" borderId="2" xfId="1" applyFont="1" applyBorder="1" applyProtection="1">
      <protection locked="0"/>
    </xf>
    <xf numFmtId="0" fontId="7" fillId="0" borderId="2" xfId="1" applyFont="1" applyBorder="1" applyProtection="1">
      <protection locked="0"/>
    </xf>
    <xf numFmtId="0" fontId="7" fillId="9" borderId="2" xfId="1" applyFont="1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3" fillId="7" borderId="0" xfId="0" applyFont="1" applyFill="1" applyProtection="1">
      <protection locked="0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numFmt numFmtId="19" formatCode="dd/mm/yyyy"/>
    </dxf>
    <dxf>
      <font>
        <b/>
        <i val="0"/>
        <color theme="1"/>
        <name val="Segoe UI Light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C7E3689-28FF-4592-A758-ED50813F62AC}">
      <tableStyleElement type="wholeTable" dxfId="2"/>
      <tableStyleElement type="headerRow" dxfId="1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xbox.xlsx]C̳álculos!Tbl_anual_total</c:name>
    <c:fmtId val="3"/>
  </c:pivotSource>
  <c:chart>
    <c:autoTitleDeleted val="1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230632598356981E-2"/>
          <c:y val="0.151555521874846"/>
          <c:w val="0.91053221692358877"/>
          <c:h val="0.83958770778652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C̳álculos!$B$10:$B$12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3-4546-A073-697C885F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918304"/>
        <c:axId val="1042833744"/>
      </c:barChart>
      <c:catAx>
        <c:axId val="104291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833744"/>
        <c:crosses val="autoZero"/>
        <c:auto val="1"/>
        <c:lblAlgn val="ctr"/>
        <c:lblOffset val="100"/>
        <c:noMultiLvlLbl val="0"/>
      </c:catAx>
      <c:valAx>
        <c:axId val="1042833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4291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31750</xdr:rowOff>
    </xdr:from>
    <xdr:to>
      <xdr:col>22</xdr:col>
      <xdr:colOff>590630</xdr:colOff>
      <xdr:row>37</xdr:row>
      <xdr:rowOff>79087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AD451AD7-B17F-5F48-E6EE-09CC7595AAF4}"/>
            </a:ext>
          </a:extLst>
        </xdr:cNvPr>
        <xdr:cNvGrpSpPr/>
      </xdr:nvGrpSpPr>
      <xdr:grpSpPr>
        <a:xfrm>
          <a:off x="2174875" y="3008313"/>
          <a:ext cx="12663568" cy="4428837"/>
          <a:chOff x="2166938" y="4095751"/>
          <a:chExt cx="4889500" cy="2824186"/>
        </a:xfrm>
        <a:solidFill>
          <a:schemeClr val="bg1">
            <a:lumMod val="85000"/>
          </a:schemeClr>
        </a:solidFill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EC34830-7292-7B88-A767-CE77753A9542}"/>
              </a:ext>
            </a:extLst>
          </xdr:cNvPr>
          <xdr:cNvSpPr/>
        </xdr:nvSpPr>
        <xdr:spPr>
          <a:xfrm>
            <a:off x="2166938" y="4095751"/>
            <a:ext cx="4889500" cy="2794000"/>
          </a:xfrm>
          <a:prstGeom prst="roundRect">
            <a:avLst>
              <a:gd name="adj" fmla="val 20928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41640E6-D86D-42B6-A4D5-FF0B1AE96638}"/>
              </a:ext>
            </a:extLst>
          </xdr:cNvPr>
          <xdr:cNvGraphicFramePr>
            <a:graphicFrameLocks/>
          </xdr:cNvGraphicFramePr>
        </xdr:nvGraphicFramePr>
        <xdr:xfrm>
          <a:off x="2402922" y="4176737"/>
          <a:ext cx="442546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1</xdr:col>
      <xdr:colOff>0</xdr:colOff>
      <xdr:row>0</xdr:row>
      <xdr:rowOff>0</xdr:rowOff>
    </xdr:from>
    <xdr:to>
      <xdr:col>2</xdr:col>
      <xdr:colOff>341313</xdr:colOff>
      <xdr:row>3</xdr:row>
      <xdr:rowOff>14160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8590D9-507A-4659-B721-738CA53E5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r="73830"/>
        <a:stretch>
          <a:fillRect/>
        </a:stretch>
      </xdr:blipFill>
      <xdr:spPr>
        <a:xfrm>
          <a:off x="1928813" y="0"/>
          <a:ext cx="587375" cy="9904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365124</xdr:rowOff>
    </xdr:from>
    <xdr:to>
      <xdr:col>0</xdr:col>
      <xdr:colOff>1920876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C9422BA-16FB-4893-A695-18D1CC42F1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08187"/>
              <a:ext cx="1920876" cy="1698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222250</xdr:colOff>
      <xdr:row>4</xdr:row>
      <xdr:rowOff>103186</xdr:rowOff>
    </xdr:from>
    <xdr:to>
      <xdr:col>11</xdr:col>
      <xdr:colOff>0</xdr:colOff>
      <xdr:row>11</xdr:row>
      <xdr:rowOff>63498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82F3116-41DF-2EBA-A649-5DC44B28265F}"/>
            </a:ext>
          </a:extLst>
        </xdr:cNvPr>
        <xdr:cNvGrpSpPr/>
      </xdr:nvGrpSpPr>
      <xdr:grpSpPr>
        <a:xfrm>
          <a:off x="2397125" y="1262061"/>
          <a:ext cx="5278438" cy="1412875"/>
          <a:chOff x="1992313" y="2389188"/>
          <a:chExt cx="4460875" cy="1277937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119CCEE1-A45B-F8EF-C9FE-3AEC94F31128}"/>
              </a:ext>
            </a:extLst>
          </xdr:cNvPr>
          <xdr:cNvSpPr/>
        </xdr:nvSpPr>
        <xdr:spPr>
          <a:xfrm>
            <a:off x="2016126" y="2571750"/>
            <a:ext cx="4437062" cy="1095375"/>
          </a:xfrm>
          <a:prstGeom prst="roundRect">
            <a:avLst>
              <a:gd name="adj" fmla="val 652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3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2F23013-A157-4D21-906F-FA9B058E9BDB}"/>
              </a:ext>
            </a:extLst>
          </xdr:cNvPr>
          <xdr:cNvSpPr/>
        </xdr:nvSpPr>
        <xdr:spPr>
          <a:xfrm>
            <a:off x="3397250" y="2684462"/>
            <a:ext cx="2257424" cy="790576"/>
          </a:xfrm>
          <a:prstGeom prst="roundRect">
            <a:avLst>
              <a:gd name="adj" fmla="val 50000"/>
            </a:avLst>
          </a:prstGeom>
          <a:solidFill>
            <a:srgbClr val="22C55E"/>
          </a:solidFill>
          <a:effectLst>
            <a:softEdge rad="12700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23E38D4-04A5-400B-829B-7CEE7B68729F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t>R$ 1.350,00</a:t>
            </a:fld>
            <a:endParaRPr lang="pt-BR" sz="66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29050409-B411-4657-A301-D3F80C0934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8050" y="2492375"/>
            <a:ext cx="1219200" cy="1174750"/>
          </a:xfrm>
          <a:prstGeom prst="rect">
            <a:avLst/>
          </a:prstGeom>
        </xdr:spPr>
      </xdr:pic>
      <xdr:sp macro="" textlink="">
        <xdr:nvSpPr>
          <xdr:cNvPr id="14" name="Retângulo: Único Canto Arredondado 13">
            <a:extLst>
              <a:ext uri="{FF2B5EF4-FFF2-40B4-BE49-F238E27FC236}">
                <a16:creationId xmlns:a16="http://schemas.microsoft.com/office/drawing/2014/main" id="{F44468AA-64C8-9323-8B87-FAE675E9CF0C}"/>
              </a:ext>
            </a:extLst>
          </xdr:cNvPr>
          <xdr:cNvSpPr/>
        </xdr:nvSpPr>
        <xdr:spPr>
          <a:xfrm>
            <a:off x="1992313" y="2389188"/>
            <a:ext cx="4460875" cy="365125"/>
          </a:xfrm>
          <a:prstGeom prst="round1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</a:t>
            </a:r>
            <a:r>
              <a:rPr lang="pt-BR" sz="1200" b="1" baseline="0"/>
              <a:t> SUBSCRIPTIONS EA PLAY SEASON PASS</a:t>
            </a:r>
            <a:endParaRPr lang="pt-BR" sz="1200" b="1"/>
          </a:p>
        </xdr:txBody>
      </xdr:sp>
    </xdr:grpSp>
    <xdr:clientData/>
  </xdr:twoCellAnchor>
  <xdr:twoCellAnchor>
    <xdr:from>
      <xdr:col>13</xdr:col>
      <xdr:colOff>111125</xdr:colOff>
      <xdr:row>4</xdr:row>
      <xdr:rowOff>99216</xdr:rowOff>
    </xdr:from>
    <xdr:to>
      <xdr:col>22</xdr:col>
      <xdr:colOff>293689</xdr:colOff>
      <xdr:row>11</xdr:row>
      <xdr:rowOff>162717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07D84DB4-44ED-2E98-DA2A-E5A5D664916B}"/>
            </a:ext>
          </a:extLst>
        </xdr:cNvPr>
        <xdr:cNvGrpSpPr/>
      </xdr:nvGrpSpPr>
      <xdr:grpSpPr>
        <a:xfrm>
          <a:off x="8858250" y="1258091"/>
          <a:ext cx="5683252" cy="1516064"/>
          <a:chOff x="6723063" y="2389188"/>
          <a:chExt cx="4460875" cy="1277937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27605A5-BFDE-F1B5-DC50-B9B87AB0B148}"/>
              </a:ext>
            </a:extLst>
          </xdr:cNvPr>
          <xdr:cNvSpPr/>
        </xdr:nvSpPr>
        <xdr:spPr>
          <a:xfrm>
            <a:off x="6746876" y="2571750"/>
            <a:ext cx="4437062" cy="1095375"/>
          </a:xfrm>
          <a:prstGeom prst="roundRect">
            <a:avLst>
              <a:gd name="adj" fmla="val 652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4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85F526E6-1AAA-7127-172F-6274364DF606}"/>
              </a:ext>
            </a:extLst>
          </xdr:cNvPr>
          <xdr:cNvSpPr/>
        </xdr:nvSpPr>
        <xdr:spPr>
          <a:xfrm>
            <a:off x="8128000" y="2684462"/>
            <a:ext cx="2257424" cy="790576"/>
          </a:xfrm>
          <a:prstGeom prst="roundRect">
            <a:avLst>
              <a:gd name="adj" fmla="val 50000"/>
            </a:avLst>
          </a:prstGeom>
          <a:solidFill>
            <a:srgbClr val="22C55E"/>
          </a:solidFill>
          <a:effectLst>
            <a:softEdge rad="12700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1E2B39-10AD-410B-AFEC-254B37584ADA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t>R$ 1.800,00</a:t>
            </a:fld>
            <a:endParaRPr lang="pt-BR" sz="59500">
              <a:solidFill>
                <a:srgbClr val="22C55E"/>
              </a:solidFill>
            </a:endParaRPr>
          </a:p>
        </xdr:txBody>
      </xdr:sp>
      <xdr:sp macro="" textlink="">
        <xdr:nvSpPr>
          <xdr:cNvPr id="21" name="Retângulo: Único Canto Arredondado 20">
            <a:extLst>
              <a:ext uri="{FF2B5EF4-FFF2-40B4-BE49-F238E27FC236}">
                <a16:creationId xmlns:a16="http://schemas.microsoft.com/office/drawing/2014/main" id="{CC9224FC-BE54-CE39-16C9-EBE72A98587E}"/>
              </a:ext>
            </a:extLst>
          </xdr:cNvPr>
          <xdr:cNvSpPr/>
        </xdr:nvSpPr>
        <xdr:spPr>
          <a:xfrm>
            <a:off x="6723063" y="2389188"/>
            <a:ext cx="4460875" cy="365125"/>
          </a:xfrm>
          <a:prstGeom prst="round1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</a:t>
            </a:r>
            <a:r>
              <a:rPr lang="pt-BR" sz="1200" b="1" baseline="0"/>
              <a:t> SUBSCRIPTIONS MINECRAFT SEASON PASS</a:t>
            </a:r>
            <a:endParaRPr lang="pt-BR" sz="1200" b="1"/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48E5AE24-7E5E-431E-BDB4-8BF624849CCB}"/>
              </a:ext>
            </a:extLst>
          </xdr:cNvPr>
          <xdr:cNvGrpSpPr/>
        </xdr:nvGrpSpPr>
        <xdr:grpSpPr>
          <a:xfrm>
            <a:off x="6999212" y="2844798"/>
            <a:ext cx="1136726" cy="631827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7A2383B5-8DB7-BE7E-AE09-EC0AA6C0AB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E4D69927-682B-B6A6-D226-1F7967F9E0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13</xdr:row>
      <xdr:rowOff>1</xdr:rowOff>
    </xdr:from>
    <xdr:to>
      <xdr:col>22</xdr:col>
      <xdr:colOff>603250</xdr:colOff>
      <xdr:row>15</xdr:row>
      <xdr:rowOff>63500</xdr:rowOff>
    </xdr:to>
    <xdr:sp macro="" textlink="">
      <xdr:nvSpPr>
        <xdr:cNvPr id="26" name="Retângulo: Único Canto Arredondado 25">
          <a:extLst>
            <a:ext uri="{FF2B5EF4-FFF2-40B4-BE49-F238E27FC236}">
              <a16:creationId xmlns:a16="http://schemas.microsoft.com/office/drawing/2014/main" id="{0577E33C-B86C-4E85-9295-78845EEC9D77}"/>
            </a:ext>
          </a:extLst>
        </xdr:cNvPr>
        <xdr:cNvSpPr/>
      </xdr:nvSpPr>
      <xdr:spPr>
        <a:xfrm>
          <a:off x="2174875" y="2928939"/>
          <a:ext cx="12676188" cy="428624"/>
        </a:xfrm>
        <a:prstGeom prst="round1Rect">
          <a:avLst>
            <a:gd name="adj" fmla="val 5000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TOTAL</a:t>
          </a:r>
          <a:r>
            <a:rPr lang="pt-BR" sz="1200" b="1" baseline="0"/>
            <a:t> SUBSCRIPTIONS XBOX GAME PASS</a:t>
          </a:r>
          <a:endParaRPr lang="pt-BR" sz="1200" b="1"/>
        </a:p>
      </xdr:txBody>
    </xdr:sp>
    <xdr:clientData/>
  </xdr:twoCellAnchor>
  <xdr:twoCellAnchor>
    <xdr:from>
      <xdr:col>0</xdr:col>
      <xdr:colOff>566738</xdr:colOff>
      <xdr:row>1</xdr:row>
      <xdr:rowOff>79375</xdr:rowOff>
    </xdr:from>
    <xdr:to>
      <xdr:col>0</xdr:col>
      <xdr:colOff>1262063</xdr:colOff>
      <xdr:row>3</xdr:row>
      <xdr:rowOff>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3C940873-4BC6-4B26-8240-5C130A923C33}"/>
            </a:ext>
          </a:extLst>
        </xdr:cNvPr>
        <xdr:cNvSpPr/>
      </xdr:nvSpPr>
      <xdr:spPr>
        <a:xfrm>
          <a:off x="566738" y="261938"/>
          <a:ext cx="695325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Ferreira dos Santos" refreshedDate="46310.564155902779" createdVersion="8" refreshedVersion="8" minRefreshableVersion="3" recordCount="295" xr:uid="{AD242E9E-D0D5-47A1-8D41-8CD5DE71F89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400401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81142-0792-4DA0-A6C9-82F366D79C73}" name="Tabela dinâ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0:B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809AD-6FB5-40A4-9D2A-F6B5009DC8F5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9:B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09EDB-32D5-429D-9D83-5B7D43F998CF}" name="Tbl_a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:B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C762134-037D-4172-8A0C-262055384682}" sourceName="Subscription Type">
  <pivotTables>
    <pivotTable tabId="3" name="Tbl_anual_total"/>
    <pivotTable tabId="3" name="Tabela dinâmica3"/>
    <pivotTable tabId="3" name="Tabela dinâmica5"/>
  </pivotTables>
  <data>
    <tabular pivotCacheId="64004018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805F116-6CC6-46CE-A2A2-64BEAFD2CCF8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3721A-185D-4445-80BD-D37EEEFE77D0}" name="Tabela2" displayName="Tabela2" ref="A3:M114" totalsRowShown="0">
  <autoFilter ref="A3:M114" xr:uid="{4663721A-185D-4445-80BD-D37EEEFE77D0}"/>
  <tableColumns count="13">
    <tableColumn id="1" xr3:uid="{C0AD719B-5857-4332-A853-6D9A967D312C}" name="Subscriber ID"/>
    <tableColumn id="2" xr3:uid="{D45607E4-AEA4-4752-B5CB-5B56C412650A}" name="Name"/>
    <tableColumn id="3" xr3:uid="{7D2365B6-80A5-4258-B2A6-8C091082E2F4}" name="Plan"/>
    <tableColumn id="4" xr3:uid="{48A44356-1427-47DE-8F42-155AE5C97258}" name="Start Date" dataDxfId="0"/>
    <tableColumn id="5" xr3:uid="{E68BD887-C7D2-478F-A035-81B0D1FB7B0A}" name="Auto Renewal"/>
    <tableColumn id="6" xr3:uid="{64F6FD35-FC36-479B-993D-77402CD33579}" name="Subscription Price"/>
    <tableColumn id="7" xr3:uid="{5C65E4BC-F5AD-42D7-94BE-2EB019A989FC}" name="Subscription Type"/>
    <tableColumn id="8" xr3:uid="{FE7B544A-4AA6-4761-A4C9-365D55469A09}" name="EA Play Season Pass"/>
    <tableColumn id="9" xr3:uid="{BAC3A570-251D-42F2-8DC7-2B17C4E2B25B}" name="EA Play Season Pass_x000a_Price"/>
    <tableColumn id="10" xr3:uid="{A3DC8802-10D7-48BE-B481-B040D5ADD4C9}" name="Minecraft Season Pass"/>
    <tableColumn id="11" xr3:uid="{C6DDB075-E57E-48D1-8BAC-6257203BFE4E}" name="Minecraft Season Pass Price"/>
    <tableColumn id="12" xr3:uid="{48AF0F21-0682-4B6E-99D3-09A2581B5153}" name="Coupon Value"/>
    <tableColumn id="13" xr3:uid="{A6BFCF46-01CD-433F-AAC9-AE20C1BD2CF7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6" sqref="B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8889-AB3A-4774-9E8E-65C02406CCDA}">
  <sheetPr>
    <tabColor theme="3" tint="0.749992370372631"/>
  </sheetPr>
  <dimension ref="A1:M114"/>
  <sheetViews>
    <sheetView workbookViewId="0">
      <selection activeCell="A3" sqref="A3:M114"/>
    </sheetView>
  </sheetViews>
  <sheetFormatPr defaultRowHeight="14.5" x14ac:dyDescent="0.35"/>
  <cols>
    <col min="1" max="1" width="14.36328125" bestFit="1" customWidth="1"/>
    <col min="2" max="2" width="15.81640625" bestFit="1" customWidth="1"/>
    <col min="3" max="3" width="8.81640625" bestFit="1" customWidth="1"/>
    <col min="4" max="4" width="11.36328125" bestFit="1" customWidth="1"/>
    <col min="5" max="5" width="14.453125" bestFit="1" customWidth="1"/>
    <col min="6" max="6" width="18.54296875" bestFit="1" customWidth="1"/>
    <col min="7" max="7" width="18.1796875" bestFit="1" customWidth="1"/>
    <col min="8" max="8" width="20" bestFit="1" customWidth="1"/>
    <col min="9" max="9" width="25.1796875" bestFit="1" customWidth="1"/>
    <col min="10" max="10" width="22" bestFit="1" customWidth="1"/>
    <col min="11" max="11" width="26.7265625" bestFit="1" customWidth="1"/>
    <col min="12" max="12" width="14.7265625" bestFit="1" customWidth="1"/>
    <col min="13" max="13" width="12.26953125" bestFit="1" customWidth="1"/>
  </cols>
  <sheetData>
    <row r="1" spans="1:13" x14ac:dyDescent="0.35">
      <c r="A1" s="17" t="s">
        <v>321</v>
      </c>
    </row>
    <row r="3" spans="1:13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5">
      <c r="A4">
        <v>3525</v>
      </c>
      <c r="B4" t="s">
        <v>308</v>
      </c>
      <c r="C4" t="s">
        <v>22</v>
      </c>
      <c r="D4" s="16">
        <v>45642</v>
      </c>
      <c r="E4" t="s">
        <v>23</v>
      </c>
      <c r="F4">
        <v>5</v>
      </c>
      <c r="G4" t="s">
        <v>20</v>
      </c>
      <c r="H4" t="s">
        <v>23</v>
      </c>
      <c r="I4" t="s">
        <v>311</v>
      </c>
      <c r="J4" t="s">
        <v>23</v>
      </c>
      <c r="K4">
        <v>0</v>
      </c>
      <c r="L4">
        <v>1</v>
      </c>
      <c r="M4">
        <v>4</v>
      </c>
    </row>
    <row r="5" spans="1:13" x14ac:dyDescent="0.35">
      <c r="A5">
        <v>3523</v>
      </c>
      <c r="B5" t="s">
        <v>306</v>
      </c>
      <c r="C5" t="s">
        <v>18</v>
      </c>
      <c r="D5" s="16">
        <v>45640</v>
      </c>
      <c r="E5" t="s">
        <v>23</v>
      </c>
      <c r="F5">
        <v>15</v>
      </c>
      <c r="G5" t="s">
        <v>20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 x14ac:dyDescent="0.35">
      <c r="A6">
        <v>3521</v>
      </c>
      <c r="B6" t="s">
        <v>304</v>
      </c>
      <c r="C6" t="s">
        <v>26</v>
      </c>
      <c r="D6" s="16">
        <v>45638</v>
      </c>
      <c r="E6" t="s">
        <v>23</v>
      </c>
      <c r="F6">
        <v>10</v>
      </c>
      <c r="G6" t="s">
        <v>20</v>
      </c>
      <c r="H6" t="s">
        <v>23</v>
      </c>
      <c r="I6" t="s">
        <v>311</v>
      </c>
      <c r="J6" t="s">
        <v>19</v>
      </c>
      <c r="K6">
        <v>20</v>
      </c>
      <c r="L6">
        <v>10</v>
      </c>
      <c r="M6">
        <v>20</v>
      </c>
    </row>
    <row r="7" spans="1:13" x14ac:dyDescent="0.35">
      <c r="A7">
        <v>3234</v>
      </c>
      <c r="B7" t="s">
        <v>28</v>
      </c>
      <c r="C7" t="s">
        <v>18</v>
      </c>
      <c r="D7" s="16">
        <v>45342</v>
      </c>
      <c r="E7" t="s">
        <v>23</v>
      </c>
      <c r="F7">
        <v>15</v>
      </c>
      <c r="G7" t="s">
        <v>20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5">
      <c r="A8">
        <v>3519</v>
      </c>
      <c r="B8" t="s">
        <v>302</v>
      </c>
      <c r="C8" t="s">
        <v>22</v>
      </c>
      <c r="D8" s="16">
        <v>45636</v>
      </c>
      <c r="E8" t="s">
        <v>23</v>
      </c>
      <c r="F8">
        <v>5</v>
      </c>
      <c r="G8" t="s">
        <v>20</v>
      </c>
      <c r="H8" t="s">
        <v>23</v>
      </c>
      <c r="I8" t="s">
        <v>311</v>
      </c>
      <c r="J8" t="s">
        <v>23</v>
      </c>
      <c r="K8">
        <v>0</v>
      </c>
      <c r="L8">
        <v>2</v>
      </c>
      <c r="M8">
        <v>3</v>
      </c>
    </row>
    <row r="9" spans="1:13" x14ac:dyDescent="0.35">
      <c r="A9">
        <v>3236</v>
      </c>
      <c r="B9" t="s">
        <v>34</v>
      </c>
      <c r="C9" t="s">
        <v>26</v>
      </c>
      <c r="D9" s="16">
        <v>45353</v>
      </c>
      <c r="E9" t="s">
        <v>23</v>
      </c>
      <c r="F9">
        <v>10</v>
      </c>
      <c r="G9" t="s">
        <v>20</v>
      </c>
      <c r="H9" t="s">
        <v>23</v>
      </c>
      <c r="I9" t="s">
        <v>311</v>
      </c>
      <c r="J9" t="s">
        <v>19</v>
      </c>
      <c r="K9">
        <v>20</v>
      </c>
      <c r="L9">
        <v>2</v>
      </c>
      <c r="M9">
        <v>28</v>
      </c>
    </row>
    <row r="10" spans="1:13" x14ac:dyDescent="0.35">
      <c r="A10">
        <v>3517</v>
      </c>
      <c r="B10" t="s">
        <v>210</v>
      </c>
      <c r="C10" t="s">
        <v>18</v>
      </c>
      <c r="D10" s="16">
        <v>45634</v>
      </c>
      <c r="E10" t="s">
        <v>23</v>
      </c>
      <c r="F10">
        <v>15</v>
      </c>
      <c r="G10" t="s">
        <v>20</v>
      </c>
      <c r="H10" t="s">
        <v>19</v>
      </c>
      <c r="I10">
        <v>30</v>
      </c>
      <c r="J10" t="s">
        <v>19</v>
      </c>
      <c r="K10">
        <v>20</v>
      </c>
      <c r="L10">
        <v>20</v>
      </c>
      <c r="M10">
        <v>45</v>
      </c>
    </row>
    <row r="11" spans="1:13" x14ac:dyDescent="0.35">
      <c r="A11">
        <v>3515</v>
      </c>
      <c r="B11" t="s">
        <v>159</v>
      </c>
      <c r="C11" t="s">
        <v>26</v>
      </c>
      <c r="D11" s="16">
        <v>45632</v>
      </c>
      <c r="E11" t="s">
        <v>23</v>
      </c>
      <c r="F11">
        <v>10</v>
      </c>
      <c r="G11" t="s">
        <v>20</v>
      </c>
      <c r="H11" t="s">
        <v>23</v>
      </c>
      <c r="I11" t="s">
        <v>311</v>
      </c>
      <c r="J11" t="s">
        <v>19</v>
      </c>
      <c r="K11">
        <v>20</v>
      </c>
      <c r="L11">
        <v>10</v>
      </c>
      <c r="M11">
        <v>20</v>
      </c>
    </row>
    <row r="12" spans="1:13" x14ac:dyDescent="0.35">
      <c r="A12">
        <v>3239</v>
      </c>
      <c r="B12" t="s">
        <v>37</v>
      </c>
      <c r="C12" t="s">
        <v>18</v>
      </c>
      <c r="D12" s="16">
        <v>45356</v>
      </c>
      <c r="E12" t="s">
        <v>23</v>
      </c>
      <c r="F12">
        <v>15</v>
      </c>
      <c r="G12" t="s">
        <v>20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5">
      <c r="A13">
        <v>3513</v>
      </c>
      <c r="B13" t="s">
        <v>299</v>
      </c>
      <c r="C13" t="s">
        <v>22</v>
      </c>
      <c r="D13" s="16">
        <v>45630</v>
      </c>
      <c r="E13" t="s">
        <v>23</v>
      </c>
      <c r="F13">
        <v>5</v>
      </c>
      <c r="G13" t="s">
        <v>20</v>
      </c>
      <c r="H13" t="s">
        <v>23</v>
      </c>
      <c r="I13" t="s">
        <v>311</v>
      </c>
      <c r="J13" t="s">
        <v>23</v>
      </c>
      <c r="K13">
        <v>0</v>
      </c>
      <c r="L13">
        <v>1</v>
      </c>
      <c r="M13">
        <v>4</v>
      </c>
    </row>
    <row r="14" spans="1:13" x14ac:dyDescent="0.35">
      <c r="A14">
        <v>3241</v>
      </c>
      <c r="B14" t="s">
        <v>39</v>
      </c>
      <c r="C14" t="s">
        <v>22</v>
      </c>
      <c r="D14" s="16">
        <v>45358</v>
      </c>
      <c r="E14" t="s">
        <v>23</v>
      </c>
      <c r="F14">
        <v>5</v>
      </c>
      <c r="G14" t="s">
        <v>20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35">
      <c r="A15">
        <v>3511</v>
      </c>
      <c r="B15" t="s">
        <v>297</v>
      </c>
      <c r="C15" t="s">
        <v>18</v>
      </c>
      <c r="D15" s="16">
        <v>45628</v>
      </c>
      <c r="E15" t="s">
        <v>23</v>
      </c>
      <c r="F15">
        <v>15</v>
      </c>
      <c r="G15" t="s">
        <v>20</v>
      </c>
      <c r="H15" t="s">
        <v>19</v>
      </c>
      <c r="I15">
        <v>30</v>
      </c>
      <c r="J15" t="s">
        <v>19</v>
      </c>
      <c r="K15">
        <v>20</v>
      </c>
      <c r="L15">
        <v>15</v>
      </c>
      <c r="M15">
        <v>50</v>
      </c>
    </row>
    <row r="16" spans="1:13" x14ac:dyDescent="0.35">
      <c r="A16">
        <v>3243</v>
      </c>
      <c r="B16" t="s">
        <v>41</v>
      </c>
      <c r="C16" t="s">
        <v>26</v>
      </c>
      <c r="D16" s="16">
        <v>45360</v>
      </c>
      <c r="E16" t="s">
        <v>23</v>
      </c>
      <c r="F16">
        <v>10</v>
      </c>
      <c r="G16" t="s">
        <v>20</v>
      </c>
      <c r="H16" t="s">
        <v>23</v>
      </c>
      <c r="I16" t="s">
        <v>311</v>
      </c>
      <c r="J16" t="s">
        <v>19</v>
      </c>
      <c r="K16">
        <v>20</v>
      </c>
      <c r="L16">
        <v>10</v>
      </c>
      <c r="M16">
        <v>20</v>
      </c>
    </row>
    <row r="17" spans="1:13" x14ac:dyDescent="0.35">
      <c r="A17">
        <v>3509</v>
      </c>
      <c r="B17" t="s">
        <v>295</v>
      </c>
      <c r="C17" t="s">
        <v>26</v>
      </c>
      <c r="D17" s="16">
        <v>45626</v>
      </c>
      <c r="E17" t="s">
        <v>23</v>
      </c>
      <c r="F17">
        <v>10</v>
      </c>
      <c r="G17" t="s">
        <v>20</v>
      </c>
      <c r="H17" t="s">
        <v>23</v>
      </c>
      <c r="I17" t="s">
        <v>311</v>
      </c>
      <c r="J17" t="s">
        <v>19</v>
      </c>
      <c r="K17">
        <v>20</v>
      </c>
      <c r="L17">
        <v>10</v>
      </c>
      <c r="M17">
        <v>20</v>
      </c>
    </row>
    <row r="18" spans="1:13" x14ac:dyDescent="0.35">
      <c r="A18">
        <v>3245</v>
      </c>
      <c r="B18" t="s">
        <v>43</v>
      </c>
      <c r="C18" t="s">
        <v>18</v>
      </c>
      <c r="D18" s="16">
        <v>45362</v>
      </c>
      <c r="E18" t="s">
        <v>23</v>
      </c>
      <c r="F18">
        <v>15</v>
      </c>
      <c r="G18" t="s">
        <v>20</v>
      </c>
      <c r="H18" t="s">
        <v>19</v>
      </c>
      <c r="I18">
        <v>30</v>
      </c>
      <c r="J18" t="s">
        <v>19</v>
      </c>
      <c r="K18">
        <v>20</v>
      </c>
      <c r="L18">
        <v>8</v>
      </c>
      <c r="M18">
        <v>57</v>
      </c>
    </row>
    <row r="19" spans="1:13" x14ac:dyDescent="0.35">
      <c r="A19">
        <v>3507</v>
      </c>
      <c r="B19" t="s">
        <v>293</v>
      </c>
      <c r="C19" t="s">
        <v>22</v>
      </c>
      <c r="D19" s="16">
        <v>45624</v>
      </c>
      <c r="E19" t="s">
        <v>23</v>
      </c>
      <c r="F19">
        <v>5</v>
      </c>
      <c r="G19" t="s">
        <v>20</v>
      </c>
      <c r="H19" t="s">
        <v>23</v>
      </c>
      <c r="I19" t="s">
        <v>311</v>
      </c>
      <c r="J19" t="s">
        <v>23</v>
      </c>
      <c r="K19">
        <v>0</v>
      </c>
      <c r="L19">
        <v>1</v>
      </c>
      <c r="M19">
        <v>4</v>
      </c>
    </row>
    <row r="20" spans="1:13" x14ac:dyDescent="0.35">
      <c r="A20">
        <v>3247</v>
      </c>
      <c r="B20" t="s">
        <v>45</v>
      </c>
      <c r="C20" t="s">
        <v>22</v>
      </c>
      <c r="D20" s="16">
        <v>45364</v>
      </c>
      <c r="E20" t="s">
        <v>23</v>
      </c>
      <c r="F20">
        <v>5</v>
      </c>
      <c r="G20" t="s">
        <v>20</v>
      </c>
      <c r="H20" t="s">
        <v>23</v>
      </c>
      <c r="I20" t="s">
        <v>311</v>
      </c>
      <c r="J20" t="s">
        <v>23</v>
      </c>
      <c r="K20">
        <v>0</v>
      </c>
      <c r="L20">
        <v>2</v>
      </c>
      <c r="M20">
        <v>3</v>
      </c>
    </row>
    <row r="21" spans="1:13" x14ac:dyDescent="0.35">
      <c r="A21">
        <v>3505</v>
      </c>
      <c r="B21" t="s">
        <v>291</v>
      </c>
      <c r="C21" t="s">
        <v>18</v>
      </c>
      <c r="D21" s="16">
        <v>45622</v>
      </c>
      <c r="E21" t="s">
        <v>23</v>
      </c>
      <c r="F21">
        <v>15</v>
      </c>
      <c r="G21" t="s">
        <v>20</v>
      </c>
      <c r="H21" t="s">
        <v>19</v>
      </c>
      <c r="I21">
        <v>30</v>
      </c>
      <c r="J21" t="s">
        <v>19</v>
      </c>
      <c r="K21">
        <v>20</v>
      </c>
      <c r="L21">
        <v>20</v>
      </c>
      <c r="M21">
        <v>45</v>
      </c>
    </row>
    <row r="22" spans="1:13" x14ac:dyDescent="0.35">
      <c r="A22">
        <v>3249</v>
      </c>
      <c r="B22" t="s">
        <v>47</v>
      </c>
      <c r="C22" t="s">
        <v>26</v>
      </c>
      <c r="D22" s="16">
        <v>45366</v>
      </c>
      <c r="E22" t="s">
        <v>23</v>
      </c>
      <c r="F22">
        <v>10</v>
      </c>
      <c r="G22" t="s">
        <v>20</v>
      </c>
      <c r="H22" t="s">
        <v>23</v>
      </c>
      <c r="I22" t="s">
        <v>311</v>
      </c>
      <c r="J22" t="s">
        <v>19</v>
      </c>
      <c r="K22">
        <v>20</v>
      </c>
      <c r="L22">
        <v>5</v>
      </c>
      <c r="M22">
        <v>25</v>
      </c>
    </row>
    <row r="23" spans="1:13" x14ac:dyDescent="0.35">
      <c r="A23">
        <v>3503</v>
      </c>
      <c r="B23" t="s">
        <v>148</v>
      </c>
      <c r="C23" t="s">
        <v>26</v>
      </c>
      <c r="D23" s="16">
        <v>45620</v>
      </c>
      <c r="E23" t="s">
        <v>23</v>
      </c>
      <c r="F23">
        <v>10</v>
      </c>
      <c r="G23" t="s">
        <v>20</v>
      </c>
      <c r="H23" t="s">
        <v>23</v>
      </c>
      <c r="I23" t="s">
        <v>311</v>
      </c>
      <c r="J23" t="s">
        <v>19</v>
      </c>
      <c r="K23">
        <v>20</v>
      </c>
      <c r="L23">
        <v>10</v>
      </c>
      <c r="M23">
        <v>20</v>
      </c>
    </row>
    <row r="24" spans="1:13" x14ac:dyDescent="0.35">
      <c r="A24">
        <v>3251</v>
      </c>
      <c r="B24" t="s">
        <v>49</v>
      </c>
      <c r="C24" t="s">
        <v>18</v>
      </c>
      <c r="D24" s="16">
        <v>45368</v>
      </c>
      <c r="E24" t="s">
        <v>23</v>
      </c>
      <c r="F24">
        <v>15</v>
      </c>
      <c r="G24" t="s">
        <v>20</v>
      </c>
      <c r="H24" t="s">
        <v>19</v>
      </c>
      <c r="I24">
        <v>30</v>
      </c>
      <c r="J24" t="s">
        <v>19</v>
      </c>
      <c r="K24">
        <v>20</v>
      </c>
      <c r="L24">
        <v>3</v>
      </c>
      <c r="M24">
        <v>62</v>
      </c>
    </row>
    <row r="25" spans="1:13" x14ac:dyDescent="0.35">
      <c r="A25">
        <v>3501</v>
      </c>
      <c r="B25" t="s">
        <v>288</v>
      </c>
      <c r="C25" t="s">
        <v>22</v>
      </c>
      <c r="D25" s="16">
        <v>45618</v>
      </c>
      <c r="E25" t="s">
        <v>23</v>
      </c>
      <c r="F25">
        <v>5</v>
      </c>
      <c r="G25" t="s">
        <v>20</v>
      </c>
      <c r="H25" t="s">
        <v>23</v>
      </c>
      <c r="I25" t="s">
        <v>311</v>
      </c>
      <c r="J25" t="s">
        <v>23</v>
      </c>
      <c r="K25">
        <v>0</v>
      </c>
      <c r="L25">
        <v>1</v>
      </c>
      <c r="M25">
        <v>4</v>
      </c>
    </row>
    <row r="26" spans="1:13" x14ac:dyDescent="0.35">
      <c r="A26">
        <v>3253</v>
      </c>
      <c r="B26" t="s">
        <v>51</v>
      </c>
      <c r="C26" t="s">
        <v>22</v>
      </c>
      <c r="D26" s="16">
        <v>45370</v>
      </c>
      <c r="E26" t="s">
        <v>23</v>
      </c>
      <c r="F26">
        <v>5</v>
      </c>
      <c r="G26" t="s">
        <v>20</v>
      </c>
      <c r="H26" t="s">
        <v>23</v>
      </c>
      <c r="I26" t="s">
        <v>311</v>
      </c>
      <c r="J26" t="s">
        <v>23</v>
      </c>
      <c r="K26">
        <v>0</v>
      </c>
      <c r="L26">
        <v>1</v>
      </c>
      <c r="M26">
        <v>4</v>
      </c>
    </row>
    <row r="27" spans="1:13" x14ac:dyDescent="0.35">
      <c r="A27">
        <v>3499</v>
      </c>
      <c r="B27" t="s">
        <v>286</v>
      </c>
      <c r="C27" t="s">
        <v>18</v>
      </c>
      <c r="D27" s="16">
        <v>45616</v>
      </c>
      <c r="E27" t="s">
        <v>23</v>
      </c>
      <c r="F27">
        <v>15</v>
      </c>
      <c r="G27" t="s">
        <v>20</v>
      </c>
      <c r="H27" t="s">
        <v>19</v>
      </c>
      <c r="I27">
        <v>30</v>
      </c>
      <c r="J27" t="s">
        <v>19</v>
      </c>
      <c r="K27">
        <v>20</v>
      </c>
      <c r="L27">
        <v>3</v>
      </c>
      <c r="M27">
        <v>62</v>
      </c>
    </row>
    <row r="28" spans="1:13" x14ac:dyDescent="0.35">
      <c r="A28">
        <v>3255</v>
      </c>
      <c r="B28" t="s">
        <v>53</v>
      </c>
      <c r="C28" t="s">
        <v>26</v>
      </c>
      <c r="D28" s="16">
        <v>45372</v>
      </c>
      <c r="E28" t="s">
        <v>23</v>
      </c>
      <c r="F28">
        <v>10</v>
      </c>
      <c r="G28" t="s">
        <v>20</v>
      </c>
      <c r="H28" t="s">
        <v>23</v>
      </c>
      <c r="I28" t="s">
        <v>311</v>
      </c>
      <c r="J28" t="s">
        <v>19</v>
      </c>
      <c r="K28">
        <v>20</v>
      </c>
      <c r="L28">
        <v>10</v>
      </c>
      <c r="M28">
        <v>20</v>
      </c>
    </row>
    <row r="29" spans="1:13" x14ac:dyDescent="0.35">
      <c r="A29">
        <v>3497</v>
      </c>
      <c r="B29" t="s">
        <v>284</v>
      </c>
      <c r="C29" t="s">
        <v>26</v>
      </c>
      <c r="D29" s="16">
        <v>45614</v>
      </c>
      <c r="E29" t="s">
        <v>23</v>
      </c>
      <c r="F29">
        <v>10</v>
      </c>
      <c r="G29" t="s">
        <v>20</v>
      </c>
      <c r="H29" t="s">
        <v>23</v>
      </c>
      <c r="I29" t="s">
        <v>311</v>
      </c>
      <c r="J29" t="s">
        <v>19</v>
      </c>
      <c r="K29">
        <v>20</v>
      </c>
      <c r="L29">
        <v>10</v>
      </c>
      <c r="M29">
        <v>20</v>
      </c>
    </row>
    <row r="30" spans="1:13" x14ac:dyDescent="0.35">
      <c r="A30">
        <v>3257</v>
      </c>
      <c r="B30" t="s">
        <v>55</v>
      </c>
      <c r="C30" t="s">
        <v>18</v>
      </c>
      <c r="D30" s="16">
        <v>45374</v>
      </c>
      <c r="E30" t="s">
        <v>23</v>
      </c>
      <c r="F30">
        <v>15</v>
      </c>
      <c r="G30" t="s">
        <v>20</v>
      </c>
      <c r="H30" t="s">
        <v>19</v>
      </c>
      <c r="I30">
        <v>30</v>
      </c>
      <c r="J30" t="s">
        <v>19</v>
      </c>
      <c r="K30">
        <v>20</v>
      </c>
      <c r="L30">
        <v>5</v>
      </c>
      <c r="M30">
        <v>60</v>
      </c>
    </row>
    <row r="31" spans="1:13" x14ac:dyDescent="0.35">
      <c r="A31">
        <v>3495</v>
      </c>
      <c r="B31" t="s">
        <v>282</v>
      </c>
      <c r="C31" t="s">
        <v>22</v>
      </c>
      <c r="D31" s="16">
        <v>45612</v>
      </c>
      <c r="E31" t="s">
        <v>23</v>
      </c>
      <c r="F31">
        <v>5</v>
      </c>
      <c r="G31" t="s">
        <v>20</v>
      </c>
      <c r="H31" t="s">
        <v>23</v>
      </c>
      <c r="I31" t="s">
        <v>311</v>
      </c>
      <c r="J31" t="s">
        <v>23</v>
      </c>
      <c r="K31">
        <v>0</v>
      </c>
      <c r="L31">
        <v>2</v>
      </c>
      <c r="M31">
        <v>3</v>
      </c>
    </row>
    <row r="32" spans="1:13" x14ac:dyDescent="0.35">
      <c r="A32">
        <v>3259</v>
      </c>
      <c r="B32" t="s">
        <v>57</v>
      </c>
      <c r="C32" t="s">
        <v>22</v>
      </c>
      <c r="D32" s="16">
        <v>45376</v>
      </c>
      <c r="E32" t="s">
        <v>23</v>
      </c>
      <c r="F32">
        <v>5</v>
      </c>
      <c r="G32" t="s">
        <v>20</v>
      </c>
      <c r="H32" t="s">
        <v>23</v>
      </c>
      <c r="I32" t="s">
        <v>311</v>
      </c>
      <c r="J32" t="s">
        <v>23</v>
      </c>
      <c r="K32">
        <v>0</v>
      </c>
      <c r="L32">
        <v>1</v>
      </c>
      <c r="M32">
        <v>4</v>
      </c>
    </row>
    <row r="33" spans="1:13" x14ac:dyDescent="0.35">
      <c r="A33">
        <v>3491</v>
      </c>
      <c r="B33" t="s">
        <v>278</v>
      </c>
      <c r="C33" t="s">
        <v>26</v>
      </c>
      <c r="D33" s="16">
        <v>45608</v>
      </c>
      <c r="E33" t="s">
        <v>23</v>
      </c>
      <c r="F33">
        <v>10</v>
      </c>
      <c r="G33" t="s">
        <v>20</v>
      </c>
      <c r="H33" t="s">
        <v>23</v>
      </c>
      <c r="I33" t="s">
        <v>311</v>
      </c>
      <c r="J33" t="s">
        <v>19</v>
      </c>
      <c r="K33">
        <v>20</v>
      </c>
      <c r="L33">
        <v>5</v>
      </c>
      <c r="M33">
        <v>25</v>
      </c>
    </row>
    <row r="34" spans="1:13" x14ac:dyDescent="0.35">
      <c r="A34">
        <v>3261</v>
      </c>
      <c r="B34" t="s">
        <v>59</v>
      </c>
      <c r="C34" t="s">
        <v>26</v>
      </c>
      <c r="D34" s="16">
        <v>45378</v>
      </c>
      <c r="E34" t="s">
        <v>23</v>
      </c>
      <c r="F34">
        <v>10</v>
      </c>
      <c r="G34" t="s">
        <v>20</v>
      </c>
      <c r="H34" t="s">
        <v>23</v>
      </c>
      <c r="I34" t="s">
        <v>311</v>
      </c>
      <c r="J34" t="s">
        <v>19</v>
      </c>
      <c r="K34">
        <v>20</v>
      </c>
      <c r="L34">
        <v>10</v>
      </c>
      <c r="M34">
        <v>20</v>
      </c>
    </row>
    <row r="35" spans="1:13" x14ac:dyDescent="0.35">
      <c r="A35">
        <v>3485</v>
      </c>
      <c r="B35" t="s">
        <v>272</v>
      </c>
      <c r="C35" t="s">
        <v>18</v>
      </c>
      <c r="D35" s="16">
        <v>45602</v>
      </c>
      <c r="E35" t="s">
        <v>23</v>
      </c>
      <c r="F35">
        <v>15</v>
      </c>
      <c r="G35" t="s">
        <v>20</v>
      </c>
      <c r="H35" t="s">
        <v>19</v>
      </c>
      <c r="I35">
        <v>30</v>
      </c>
      <c r="J35" t="s">
        <v>19</v>
      </c>
      <c r="K35">
        <v>20</v>
      </c>
      <c r="L35">
        <v>15</v>
      </c>
      <c r="M35">
        <v>50</v>
      </c>
    </row>
    <row r="36" spans="1:13" x14ac:dyDescent="0.35">
      <c r="A36">
        <v>3263</v>
      </c>
      <c r="B36" t="s">
        <v>61</v>
      </c>
      <c r="C36" t="s">
        <v>18</v>
      </c>
      <c r="D36" s="16">
        <v>45380</v>
      </c>
      <c r="E36" t="s">
        <v>23</v>
      </c>
      <c r="F36">
        <v>15</v>
      </c>
      <c r="G36" t="s">
        <v>20</v>
      </c>
      <c r="H36" t="s">
        <v>19</v>
      </c>
      <c r="I36">
        <v>30</v>
      </c>
      <c r="J36" t="s">
        <v>19</v>
      </c>
      <c r="K36">
        <v>20</v>
      </c>
      <c r="L36">
        <v>3</v>
      </c>
      <c r="M36">
        <v>62</v>
      </c>
    </row>
    <row r="37" spans="1:13" x14ac:dyDescent="0.35">
      <c r="A37">
        <v>3483</v>
      </c>
      <c r="B37" t="s">
        <v>270</v>
      </c>
      <c r="C37" t="s">
        <v>26</v>
      </c>
      <c r="D37" s="16">
        <v>45600</v>
      </c>
      <c r="E37" t="s">
        <v>23</v>
      </c>
      <c r="F37">
        <v>10</v>
      </c>
      <c r="G37" t="s">
        <v>20</v>
      </c>
      <c r="H37" t="s">
        <v>23</v>
      </c>
      <c r="I37" t="s">
        <v>311</v>
      </c>
      <c r="J37" t="s">
        <v>19</v>
      </c>
      <c r="K37">
        <v>20</v>
      </c>
      <c r="L37">
        <v>10</v>
      </c>
      <c r="M37">
        <v>20</v>
      </c>
    </row>
    <row r="38" spans="1:13" x14ac:dyDescent="0.35">
      <c r="A38">
        <v>3265</v>
      </c>
      <c r="B38" t="s">
        <v>63</v>
      </c>
      <c r="C38" t="s">
        <v>22</v>
      </c>
      <c r="D38" s="16">
        <v>45382</v>
      </c>
      <c r="E38" t="s">
        <v>23</v>
      </c>
      <c r="F38">
        <v>5</v>
      </c>
      <c r="G38" t="s">
        <v>20</v>
      </c>
      <c r="H38" t="s">
        <v>23</v>
      </c>
      <c r="I38" t="s">
        <v>311</v>
      </c>
      <c r="J38" t="s">
        <v>23</v>
      </c>
      <c r="K38">
        <v>0</v>
      </c>
      <c r="L38">
        <v>1</v>
      </c>
      <c r="M38">
        <v>4</v>
      </c>
    </row>
    <row r="39" spans="1:13" x14ac:dyDescent="0.35">
      <c r="A39">
        <v>3481</v>
      </c>
      <c r="B39" t="s">
        <v>268</v>
      </c>
      <c r="C39" t="s">
        <v>22</v>
      </c>
      <c r="D39" s="16">
        <v>45598</v>
      </c>
      <c r="E39" t="s">
        <v>23</v>
      </c>
      <c r="F39">
        <v>5</v>
      </c>
      <c r="G39" t="s">
        <v>20</v>
      </c>
      <c r="H39" t="s">
        <v>23</v>
      </c>
      <c r="I39" t="s">
        <v>311</v>
      </c>
      <c r="J39" t="s">
        <v>23</v>
      </c>
      <c r="K39">
        <v>0</v>
      </c>
      <c r="L39">
        <v>1</v>
      </c>
      <c r="M39">
        <v>4</v>
      </c>
    </row>
    <row r="40" spans="1:13" x14ac:dyDescent="0.35">
      <c r="A40">
        <v>3479</v>
      </c>
      <c r="B40" t="s">
        <v>266</v>
      </c>
      <c r="C40" t="s">
        <v>18</v>
      </c>
      <c r="D40" s="16">
        <v>45596</v>
      </c>
      <c r="E40" t="s">
        <v>23</v>
      </c>
      <c r="F40">
        <v>15</v>
      </c>
      <c r="G40" t="s">
        <v>20</v>
      </c>
      <c r="H40" t="s">
        <v>19</v>
      </c>
      <c r="I40">
        <v>30</v>
      </c>
      <c r="J40" t="s">
        <v>19</v>
      </c>
      <c r="K40">
        <v>20</v>
      </c>
      <c r="L40">
        <v>20</v>
      </c>
      <c r="M40">
        <v>45</v>
      </c>
    </row>
    <row r="41" spans="1:13" x14ac:dyDescent="0.35">
      <c r="A41">
        <v>3477</v>
      </c>
      <c r="B41" t="s">
        <v>264</v>
      </c>
      <c r="C41" t="s">
        <v>26</v>
      </c>
      <c r="D41" s="16">
        <v>45594</v>
      </c>
      <c r="E41" t="s">
        <v>23</v>
      </c>
      <c r="F41">
        <v>10</v>
      </c>
      <c r="G41" t="s">
        <v>20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5">
      <c r="A42">
        <v>3475</v>
      </c>
      <c r="B42" t="s">
        <v>262</v>
      </c>
      <c r="C42" t="s">
        <v>22</v>
      </c>
      <c r="D42" s="16">
        <v>45592</v>
      </c>
      <c r="E42" t="s">
        <v>23</v>
      </c>
      <c r="F42">
        <v>5</v>
      </c>
      <c r="G42" t="s">
        <v>20</v>
      </c>
      <c r="H42" t="s">
        <v>23</v>
      </c>
      <c r="I42" t="s">
        <v>311</v>
      </c>
      <c r="J42" t="s">
        <v>23</v>
      </c>
      <c r="K42">
        <v>0</v>
      </c>
      <c r="L42">
        <v>1</v>
      </c>
      <c r="M42">
        <v>4</v>
      </c>
    </row>
    <row r="43" spans="1:13" x14ac:dyDescent="0.35">
      <c r="A43">
        <v>3473</v>
      </c>
      <c r="B43" t="s">
        <v>169</v>
      </c>
      <c r="C43" t="s">
        <v>18</v>
      </c>
      <c r="D43" s="16">
        <v>45590</v>
      </c>
      <c r="E43" t="s">
        <v>23</v>
      </c>
      <c r="F43">
        <v>15</v>
      </c>
      <c r="G43" t="s">
        <v>20</v>
      </c>
      <c r="H43" t="s">
        <v>19</v>
      </c>
      <c r="I43">
        <v>30</v>
      </c>
      <c r="J43" t="s">
        <v>19</v>
      </c>
      <c r="K43">
        <v>20</v>
      </c>
      <c r="L43">
        <v>3</v>
      </c>
      <c r="M43">
        <v>62</v>
      </c>
    </row>
    <row r="44" spans="1:13" x14ac:dyDescent="0.35">
      <c r="A44">
        <v>3271</v>
      </c>
      <c r="B44" t="s">
        <v>69</v>
      </c>
      <c r="C44" t="s">
        <v>26</v>
      </c>
      <c r="D44" s="16">
        <v>45388</v>
      </c>
      <c r="E44" t="s">
        <v>23</v>
      </c>
      <c r="F44">
        <v>10</v>
      </c>
      <c r="G44" t="s">
        <v>20</v>
      </c>
      <c r="H44" t="s">
        <v>23</v>
      </c>
      <c r="I44" t="s">
        <v>311</v>
      </c>
      <c r="J44" t="s">
        <v>19</v>
      </c>
      <c r="K44">
        <v>20</v>
      </c>
      <c r="L44">
        <v>5</v>
      </c>
      <c r="M44">
        <v>25</v>
      </c>
    </row>
    <row r="45" spans="1:13" x14ac:dyDescent="0.35">
      <c r="A45">
        <v>3471</v>
      </c>
      <c r="B45" t="s">
        <v>259</v>
      </c>
      <c r="C45" t="s">
        <v>26</v>
      </c>
      <c r="D45" s="16">
        <v>45588</v>
      </c>
      <c r="E45" t="s">
        <v>23</v>
      </c>
      <c r="F45">
        <v>10</v>
      </c>
      <c r="G45" t="s">
        <v>20</v>
      </c>
      <c r="H45" t="s">
        <v>23</v>
      </c>
      <c r="I45" t="s">
        <v>311</v>
      </c>
      <c r="J45" t="s">
        <v>19</v>
      </c>
      <c r="K45">
        <v>20</v>
      </c>
      <c r="L45">
        <v>10</v>
      </c>
      <c r="M45">
        <v>20</v>
      </c>
    </row>
    <row r="46" spans="1:13" x14ac:dyDescent="0.35">
      <c r="A46">
        <v>3469</v>
      </c>
      <c r="B46" t="s">
        <v>257</v>
      </c>
      <c r="C46" t="s">
        <v>22</v>
      </c>
      <c r="D46" s="16">
        <v>45586</v>
      </c>
      <c r="E46" t="s">
        <v>23</v>
      </c>
      <c r="F46">
        <v>5</v>
      </c>
      <c r="G46" t="s">
        <v>20</v>
      </c>
      <c r="H46" t="s">
        <v>23</v>
      </c>
      <c r="I46" t="s">
        <v>311</v>
      </c>
      <c r="J46" t="s">
        <v>23</v>
      </c>
      <c r="K46">
        <v>0</v>
      </c>
      <c r="L46">
        <v>2</v>
      </c>
      <c r="M46">
        <v>3</v>
      </c>
    </row>
    <row r="47" spans="1:13" x14ac:dyDescent="0.35">
      <c r="A47">
        <v>3467</v>
      </c>
      <c r="B47" t="s">
        <v>255</v>
      </c>
      <c r="C47" t="s">
        <v>18</v>
      </c>
      <c r="D47" s="16">
        <v>45584</v>
      </c>
      <c r="E47" t="s">
        <v>23</v>
      </c>
      <c r="F47">
        <v>15</v>
      </c>
      <c r="G47" t="s">
        <v>20</v>
      </c>
      <c r="H47" t="s">
        <v>19</v>
      </c>
      <c r="I47">
        <v>30</v>
      </c>
      <c r="J47" t="s">
        <v>19</v>
      </c>
      <c r="K47">
        <v>20</v>
      </c>
      <c r="L47">
        <v>15</v>
      </c>
      <c r="M47">
        <v>50</v>
      </c>
    </row>
    <row r="48" spans="1:13" x14ac:dyDescent="0.35">
      <c r="A48">
        <v>3275</v>
      </c>
      <c r="B48" t="s">
        <v>73</v>
      </c>
      <c r="C48" t="s">
        <v>22</v>
      </c>
      <c r="D48" s="16">
        <v>45392</v>
      </c>
      <c r="E48" t="s">
        <v>23</v>
      </c>
      <c r="F48">
        <v>5</v>
      </c>
      <c r="G48" t="s">
        <v>20</v>
      </c>
      <c r="H48" t="s">
        <v>23</v>
      </c>
      <c r="I48" t="s">
        <v>311</v>
      </c>
      <c r="J48" t="s">
        <v>23</v>
      </c>
      <c r="K48">
        <v>0</v>
      </c>
      <c r="L48">
        <v>2</v>
      </c>
      <c r="M48">
        <v>3</v>
      </c>
    </row>
    <row r="49" spans="1:13" x14ac:dyDescent="0.35">
      <c r="A49">
        <v>3465</v>
      </c>
      <c r="B49" t="s">
        <v>253</v>
      </c>
      <c r="C49" t="s">
        <v>26</v>
      </c>
      <c r="D49" s="16">
        <v>45582</v>
      </c>
      <c r="E49" t="s">
        <v>23</v>
      </c>
      <c r="F49">
        <v>10</v>
      </c>
      <c r="G49" t="s">
        <v>20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 x14ac:dyDescent="0.35">
      <c r="A50">
        <v>3277</v>
      </c>
      <c r="B50" t="s">
        <v>75</v>
      </c>
      <c r="C50" t="s">
        <v>26</v>
      </c>
      <c r="D50" s="16">
        <v>45394</v>
      </c>
      <c r="E50" t="s">
        <v>23</v>
      </c>
      <c r="F50">
        <v>10</v>
      </c>
      <c r="G50" t="s">
        <v>20</v>
      </c>
      <c r="H50" t="s">
        <v>23</v>
      </c>
      <c r="I50" t="s">
        <v>311</v>
      </c>
      <c r="J50" t="s">
        <v>19</v>
      </c>
      <c r="K50">
        <v>20</v>
      </c>
      <c r="L50">
        <v>10</v>
      </c>
      <c r="M50">
        <v>20</v>
      </c>
    </row>
    <row r="51" spans="1:13" x14ac:dyDescent="0.35">
      <c r="A51">
        <v>3463</v>
      </c>
      <c r="B51" t="s">
        <v>251</v>
      </c>
      <c r="C51" t="s">
        <v>22</v>
      </c>
      <c r="D51" s="16">
        <v>45580</v>
      </c>
      <c r="E51" t="s">
        <v>23</v>
      </c>
      <c r="F51">
        <v>5</v>
      </c>
      <c r="G51" t="s">
        <v>20</v>
      </c>
      <c r="H51" t="s">
        <v>23</v>
      </c>
      <c r="I51" t="s">
        <v>311</v>
      </c>
      <c r="J51" t="s">
        <v>23</v>
      </c>
      <c r="K51">
        <v>0</v>
      </c>
      <c r="L51">
        <v>1</v>
      </c>
      <c r="M51">
        <v>4</v>
      </c>
    </row>
    <row r="52" spans="1:13" x14ac:dyDescent="0.35">
      <c r="A52">
        <v>3279</v>
      </c>
      <c r="B52" t="s">
        <v>77</v>
      </c>
      <c r="C52" t="s">
        <v>18</v>
      </c>
      <c r="D52" s="16">
        <v>45396</v>
      </c>
      <c r="E52" t="s">
        <v>23</v>
      </c>
      <c r="F52">
        <v>15</v>
      </c>
      <c r="G52" t="s">
        <v>20</v>
      </c>
      <c r="H52" t="s">
        <v>19</v>
      </c>
      <c r="I52">
        <v>30</v>
      </c>
      <c r="J52" t="s">
        <v>19</v>
      </c>
      <c r="K52">
        <v>20</v>
      </c>
      <c r="L52">
        <v>3</v>
      </c>
      <c r="M52">
        <v>62</v>
      </c>
    </row>
    <row r="53" spans="1:13" x14ac:dyDescent="0.35">
      <c r="A53">
        <v>3461</v>
      </c>
      <c r="B53" t="s">
        <v>249</v>
      </c>
      <c r="C53" t="s">
        <v>18</v>
      </c>
      <c r="D53" s="16">
        <v>45578</v>
      </c>
      <c r="E53" t="s">
        <v>23</v>
      </c>
      <c r="F53">
        <v>15</v>
      </c>
      <c r="G53" t="s">
        <v>20</v>
      </c>
      <c r="H53" t="s">
        <v>19</v>
      </c>
      <c r="I53">
        <v>30</v>
      </c>
      <c r="J53" t="s">
        <v>19</v>
      </c>
      <c r="K53">
        <v>20</v>
      </c>
      <c r="L53">
        <v>15</v>
      </c>
      <c r="M53">
        <v>50</v>
      </c>
    </row>
    <row r="54" spans="1:13" x14ac:dyDescent="0.35">
      <c r="A54">
        <v>3281</v>
      </c>
      <c r="B54" t="s">
        <v>79</v>
      </c>
      <c r="C54" t="s">
        <v>22</v>
      </c>
      <c r="D54" s="16">
        <v>45398</v>
      </c>
      <c r="E54" t="s">
        <v>23</v>
      </c>
      <c r="F54">
        <v>5</v>
      </c>
      <c r="G54" t="s">
        <v>20</v>
      </c>
      <c r="H54" t="s">
        <v>23</v>
      </c>
      <c r="I54" t="s">
        <v>311</v>
      </c>
      <c r="J54" t="s">
        <v>23</v>
      </c>
      <c r="K54">
        <v>0</v>
      </c>
      <c r="L54">
        <v>1</v>
      </c>
      <c r="M54">
        <v>4</v>
      </c>
    </row>
    <row r="55" spans="1:13" x14ac:dyDescent="0.35">
      <c r="A55">
        <v>3459</v>
      </c>
      <c r="B55" t="s">
        <v>248</v>
      </c>
      <c r="C55" t="s">
        <v>26</v>
      </c>
      <c r="D55" s="16">
        <v>45576</v>
      </c>
      <c r="E55" t="s">
        <v>23</v>
      </c>
      <c r="F55">
        <v>10</v>
      </c>
      <c r="G55" t="s">
        <v>20</v>
      </c>
      <c r="H55" t="s">
        <v>23</v>
      </c>
      <c r="I55" t="s">
        <v>311</v>
      </c>
      <c r="J55" t="s">
        <v>19</v>
      </c>
      <c r="K55">
        <v>20</v>
      </c>
      <c r="L55">
        <v>10</v>
      </c>
      <c r="M55">
        <v>20</v>
      </c>
    </row>
    <row r="56" spans="1:13" x14ac:dyDescent="0.35">
      <c r="A56">
        <v>3283</v>
      </c>
      <c r="B56" t="s">
        <v>81</v>
      </c>
      <c r="C56" t="s">
        <v>26</v>
      </c>
      <c r="D56" s="16">
        <v>45400</v>
      </c>
      <c r="E56" t="s">
        <v>23</v>
      </c>
      <c r="F56">
        <v>10</v>
      </c>
      <c r="G56" t="s">
        <v>20</v>
      </c>
      <c r="H56" t="s">
        <v>23</v>
      </c>
      <c r="I56" t="s">
        <v>311</v>
      </c>
      <c r="J56" t="s">
        <v>19</v>
      </c>
      <c r="K56">
        <v>20</v>
      </c>
      <c r="L56">
        <v>10</v>
      </c>
      <c r="M56">
        <v>20</v>
      </c>
    </row>
    <row r="57" spans="1:13" x14ac:dyDescent="0.35">
      <c r="A57">
        <v>3457</v>
      </c>
      <c r="B57" t="s">
        <v>246</v>
      </c>
      <c r="C57" t="s">
        <v>22</v>
      </c>
      <c r="D57" s="16">
        <v>45574</v>
      </c>
      <c r="E57" t="s">
        <v>23</v>
      </c>
      <c r="F57">
        <v>5</v>
      </c>
      <c r="G57" t="s">
        <v>20</v>
      </c>
      <c r="H57" t="s">
        <v>23</v>
      </c>
      <c r="I57" t="s">
        <v>311</v>
      </c>
      <c r="J57" t="s">
        <v>23</v>
      </c>
      <c r="K57">
        <v>0</v>
      </c>
      <c r="L57">
        <v>1</v>
      </c>
      <c r="M57">
        <v>4</v>
      </c>
    </row>
    <row r="58" spans="1:13" x14ac:dyDescent="0.35">
      <c r="A58">
        <v>3285</v>
      </c>
      <c r="B58" t="s">
        <v>83</v>
      </c>
      <c r="C58" t="s">
        <v>18</v>
      </c>
      <c r="D58" s="16">
        <v>45402</v>
      </c>
      <c r="E58" t="s">
        <v>23</v>
      </c>
      <c r="F58">
        <v>15</v>
      </c>
      <c r="G58" t="s">
        <v>20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5">
      <c r="A59">
        <v>3455</v>
      </c>
      <c r="B59" t="s">
        <v>244</v>
      </c>
      <c r="C59" t="s">
        <v>18</v>
      </c>
      <c r="D59" s="16">
        <v>45572</v>
      </c>
      <c r="E59" t="s">
        <v>23</v>
      </c>
      <c r="F59">
        <v>15</v>
      </c>
      <c r="G59" t="s">
        <v>20</v>
      </c>
      <c r="H59" t="s">
        <v>19</v>
      </c>
      <c r="I59">
        <v>30</v>
      </c>
      <c r="J59" t="s">
        <v>19</v>
      </c>
      <c r="K59">
        <v>20</v>
      </c>
      <c r="L59">
        <v>20</v>
      </c>
      <c r="M59">
        <v>45</v>
      </c>
    </row>
    <row r="60" spans="1:13" x14ac:dyDescent="0.35">
      <c r="A60">
        <v>3287</v>
      </c>
      <c r="B60" t="s">
        <v>85</v>
      </c>
      <c r="C60" t="s">
        <v>22</v>
      </c>
      <c r="D60" s="16">
        <v>45404</v>
      </c>
      <c r="E60" t="s">
        <v>23</v>
      </c>
      <c r="F60">
        <v>5</v>
      </c>
      <c r="G60" t="s">
        <v>20</v>
      </c>
      <c r="H60" t="s">
        <v>23</v>
      </c>
      <c r="I60" t="s">
        <v>311</v>
      </c>
      <c r="J60" t="s">
        <v>23</v>
      </c>
      <c r="K60">
        <v>0</v>
      </c>
      <c r="L60">
        <v>1</v>
      </c>
      <c r="M60">
        <v>4</v>
      </c>
    </row>
    <row r="61" spans="1:13" x14ac:dyDescent="0.35">
      <c r="A61">
        <v>3453</v>
      </c>
      <c r="B61" t="s">
        <v>74</v>
      </c>
      <c r="C61" t="s">
        <v>26</v>
      </c>
      <c r="D61" s="16">
        <v>45570</v>
      </c>
      <c r="E61" t="s">
        <v>23</v>
      </c>
      <c r="F61">
        <v>10</v>
      </c>
      <c r="G61" t="s">
        <v>20</v>
      </c>
      <c r="H61" t="s">
        <v>23</v>
      </c>
      <c r="I61" t="s">
        <v>311</v>
      </c>
      <c r="J61" t="s">
        <v>19</v>
      </c>
      <c r="K61">
        <v>20</v>
      </c>
      <c r="L61">
        <v>10</v>
      </c>
      <c r="M61">
        <v>20</v>
      </c>
    </row>
    <row r="62" spans="1:13" x14ac:dyDescent="0.35">
      <c r="A62">
        <v>3289</v>
      </c>
      <c r="B62" t="s">
        <v>87</v>
      </c>
      <c r="C62" t="s">
        <v>26</v>
      </c>
      <c r="D62" s="16">
        <v>45406</v>
      </c>
      <c r="E62" t="s">
        <v>23</v>
      </c>
      <c r="F62">
        <v>10</v>
      </c>
      <c r="G62" t="s">
        <v>20</v>
      </c>
      <c r="H62" t="s">
        <v>23</v>
      </c>
      <c r="I62" t="s">
        <v>311</v>
      </c>
      <c r="J62" t="s">
        <v>19</v>
      </c>
      <c r="K62">
        <v>20</v>
      </c>
      <c r="L62">
        <v>10</v>
      </c>
      <c r="M62">
        <v>20</v>
      </c>
    </row>
    <row r="63" spans="1:13" x14ac:dyDescent="0.35">
      <c r="A63">
        <v>3451</v>
      </c>
      <c r="B63" t="s">
        <v>242</v>
      </c>
      <c r="C63" t="s">
        <v>22</v>
      </c>
      <c r="D63" s="16">
        <v>45568</v>
      </c>
      <c r="E63" t="s">
        <v>23</v>
      </c>
      <c r="F63">
        <v>5</v>
      </c>
      <c r="G63" t="s">
        <v>20</v>
      </c>
      <c r="H63" t="s">
        <v>23</v>
      </c>
      <c r="I63" t="s">
        <v>311</v>
      </c>
      <c r="J63" t="s">
        <v>23</v>
      </c>
      <c r="K63">
        <v>0</v>
      </c>
      <c r="L63">
        <v>1</v>
      </c>
      <c r="M63">
        <v>4</v>
      </c>
    </row>
    <row r="64" spans="1:13" x14ac:dyDescent="0.35">
      <c r="A64">
        <v>3291</v>
      </c>
      <c r="B64" t="s">
        <v>89</v>
      </c>
      <c r="C64" t="s">
        <v>18</v>
      </c>
      <c r="D64" s="16">
        <v>45408</v>
      </c>
      <c r="E64" t="s">
        <v>23</v>
      </c>
      <c r="F64">
        <v>15</v>
      </c>
      <c r="G64" t="s">
        <v>20</v>
      </c>
      <c r="H64" t="s">
        <v>19</v>
      </c>
      <c r="I64">
        <v>30</v>
      </c>
      <c r="J64" t="s">
        <v>19</v>
      </c>
      <c r="K64">
        <v>20</v>
      </c>
      <c r="L64">
        <v>5</v>
      </c>
      <c r="M64">
        <v>60</v>
      </c>
    </row>
    <row r="65" spans="1:13" x14ac:dyDescent="0.35">
      <c r="A65">
        <v>3449</v>
      </c>
      <c r="B65" t="s">
        <v>240</v>
      </c>
      <c r="C65" t="s">
        <v>18</v>
      </c>
      <c r="D65" s="16">
        <v>45566</v>
      </c>
      <c r="E65" t="s">
        <v>23</v>
      </c>
      <c r="F65">
        <v>15</v>
      </c>
      <c r="G65" t="s">
        <v>20</v>
      </c>
      <c r="H65" t="s">
        <v>19</v>
      </c>
      <c r="I65">
        <v>30</v>
      </c>
      <c r="J65" t="s">
        <v>19</v>
      </c>
      <c r="K65">
        <v>20</v>
      </c>
      <c r="L65">
        <v>3</v>
      </c>
      <c r="M65">
        <v>62</v>
      </c>
    </row>
    <row r="66" spans="1:13" x14ac:dyDescent="0.35">
      <c r="A66">
        <v>3293</v>
      </c>
      <c r="B66" t="s">
        <v>91</v>
      </c>
      <c r="C66" t="s">
        <v>22</v>
      </c>
      <c r="D66" s="16">
        <v>45410</v>
      </c>
      <c r="E66" t="s">
        <v>23</v>
      </c>
      <c r="F66">
        <v>5</v>
      </c>
      <c r="G66" t="s">
        <v>20</v>
      </c>
      <c r="H66" t="s">
        <v>23</v>
      </c>
      <c r="I66" t="s">
        <v>311</v>
      </c>
      <c r="J66" t="s">
        <v>23</v>
      </c>
      <c r="K66">
        <v>0</v>
      </c>
      <c r="L66">
        <v>1</v>
      </c>
      <c r="M66">
        <v>4</v>
      </c>
    </row>
    <row r="67" spans="1:13" x14ac:dyDescent="0.35">
      <c r="A67">
        <v>3447</v>
      </c>
      <c r="B67" t="s">
        <v>238</v>
      </c>
      <c r="C67" t="s">
        <v>26</v>
      </c>
      <c r="D67" s="16">
        <v>45564</v>
      </c>
      <c r="E67" t="s">
        <v>23</v>
      </c>
      <c r="F67">
        <v>10</v>
      </c>
      <c r="G67" t="s">
        <v>20</v>
      </c>
      <c r="H67" t="s">
        <v>23</v>
      </c>
      <c r="I67" t="s">
        <v>311</v>
      </c>
      <c r="J67" t="s">
        <v>19</v>
      </c>
      <c r="K67">
        <v>20</v>
      </c>
      <c r="L67">
        <v>10</v>
      </c>
      <c r="M67">
        <v>20</v>
      </c>
    </row>
    <row r="68" spans="1:13" x14ac:dyDescent="0.35">
      <c r="A68">
        <v>3295</v>
      </c>
      <c r="B68" t="s">
        <v>93</v>
      </c>
      <c r="C68" t="s">
        <v>26</v>
      </c>
      <c r="D68" s="16">
        <v>45412</v>
      </c>
      <c r="E68" t="s">
        <v>23</v>
      </c>
      <c r="F68">
        <v>10</v>
      </c>
      <c r="G68" t="s">
        <v>20</v>
      </c>
      <c r="H68" t="s">
        <v>23</v>
      </c>
      <c r="I68" t="s">
        <v>311</v>
      </c>
      <c r="J68" t="s">
        <v>19</v>
      </c>
      <c r="K68">
        <v>20</v>
      </c>
      <c r="L68">
        <v>5</v>
      </c>
      <c r="M68">
        <v>25</v>
      </c>
    </row>
    <row r="69" spans="1:13" x14ac:dyDescent="0.35">
      <c r="A69">
        <v>3296</v>
      </c>
      <c r="B69" t="s">
        <v>94</v>
      </c>
      <c r="C69" t="s">
        <v>22</v>
      </c>
      <c r="D69" s="16">
        <v>45413</v>
      </c>
      <c r="E69" t="s">
        <v>23</v>
      </c>
      <c r="F69">
        <v>5</v>
      </c>
      <c r="G69" t="s">
        <v>20</v>
      </c>
      <c r="H69" t="s">
        <v>23</v>
      </c>
      <c r="I69" t="s">
        <v>311</v>
      </c>
      <c r="J69" t="s">
        <v>23</v>
      </c>
      <c r="K69">
        <v>0</v>
      </c>
      <c r="L69">
        <v>0</v>
      </c>
      <c r="M69">
        <v>5</v>
      </c>
    </row>
    <row r="70" spans="1:13" x14ac:dyDescent="0.35">
      <c r="A70">
        <v>3445</v>
      </c>
      <c r="B70" t="s">
        <v>66</v>
      </c>
      <c r="C70" t="s">
        <v>22</v>
      </c>
      <c r="D70" s="16">
        <v>45562</v>
      </c>
      <c r="E70" t="s">
        <v>23</v>
      </c>
      <c r="F70">
        <v>5</v>
      </c>
      <c r="G70" t="s">
        <v>20</v>
      </c>
      <c r="H70" t="s">
        <v>23</v>
      </c>
      <c r="I70" t="s">
        <v>311</v>
      </c>
      <c r="J70" t="s">
        <v>23</v>
      </c>
      <c r="K70">
        <v>0</v>
      </c>
      <c r="L70">
        <v>2</v>
      </c>
      <c r="M70">
        <v>3</v>
      </c>
    </row>
    <row r="71" spans="1:13" x14ac:dyDescent="0.35">
      <c r="A71">
        <v>3441</v>
      </c>
      <c r="B71" t="s">
        <v>233</v>
      </c>
      <c r="C71" t="s">
        <v>26</v>
      </c>
      <c r="D71" s="16">
        <v>45558</v>
      </c>
      <c r="E71" t="s">
        <v>23</v>
      </c>
      <c r="F71">
        <v>10</v>
      </c>
      <c r="G71" t="s">
        <v>20</v>
      </c>
      <c r="H71" t="s">
        <v>23</v>
      </c>
      <c r="I71" t="s">
        <v>311</v>
      </c>
      <c r="J71" t="s">
        <v>19</v>
      </c>
      <c r="K71">
        <v>20</v>
      </c>
      <c r="L71">
        <v>5</v>
      </c>
      <c r="M71">
        <v>25</v>
      </c>
    </row>
    <row r="72" spans="1:13" x14ac:dyDescent="0.35">
      <c r="A72">
        <v>3435</v>
      </c>
      <c r="B72" t="s">
        <v>227</v>
      </c>
      <c r="C72" t="s">
        <v>26</v>
      </c>
      <c r="D72" s="16">
        <v>45552</v>
      </c>
      <c r="E72" t="s">
        <v>23</v>
      </c>
      <c r="F72">
        <v>10</v>
      </c>
      <c r="G72" t="s">
        <v>20</v>
      </c>
      <c r="H72" t="s">
        <v>23</v>
      </c>
      <c r="I72" t="s">
        <v>311</v>
      </c>
      <c r="J72" t="s">
        <v>19</v>
      </c>
      <c r="K72">
        <v>20</v>
      </c>
      <c r="L72">
        <v>10</v>
      </c>
      <c r="M72">
        <v>20</v>
      </c>
    </row>
    <row r="73" spans="1:13" x14ac:dyDescent="0.35">
      <c r="A73">
        <v>3300</v>
      </c>
      <c r="B73" t="s">
        <v>98</v>
      </c>
      <c r="C73" t="s">
        <v>18</v>
      </c>
      <c r="D73" s="16">
        <v>45417</v>
      </c>
      <c r="E73" t="s">
        <v>23</v>
      </c>
      <c r="F73">
        <v>15</v>
      </c>
      <c r="G73" t="s">
        <v>20</v>
      </c>
      <c r="H73" t="s">
        <v>19</v>
      </c>
      <c r="I73">
        <v>30</v>
      </c>
      <c r="J73" t="s">
        <v>19</v>
      </c>
      <c r="K73">
        <v>20</v>
      </c>
      <c r="L73">
        <v>15</v>
      </c>
      <c r="M73">
        <v>50</v>
      </c>
    </row>
    <row r="74" spans="1:13" x14ac:dyDescent="0.35">
      <c r="A74">
        <v>3433</v>
      </c>
      <c r="B74" t="s">
        <v>225</v>
      </c>
      <c r="C74" t="s">
        <v>22</v>
      </c>
      <c r="D74" s="16">
        <v>45550</v>
      </c>
      <c r="E74" t="s">
        <v>23</v>
      </c>
      <c r="F74">
        <v>5</v>
      </c>
      <c r="G74" t="s">
        <v>20</v>
      </c>
      <c r="H74" t="s">
        <v>23</v>
      </c>
      <c r="I74" t="s">
        <v>311</v>
      </c>
      <c r="J74" t="s">
        <v>23</v>
      </c>
      <c r="K74">
        <v>0</v>
      </c>
      <c r="L74">
        <v>1</v>
      </c>
      <c r="M74">
        <v>4</v>
      </c>
    </row>
    <row r="75" spans="1:13" x14ac:dyDescent="0.35">
      <c r="A75">
        <v>3431</v>
      </c>
      <c r="B75" t="s">
        <v>223</v>
      </c>
      <c r="C75" t="s">
        <v>18</v>
      </c>
      <c r="D75" s="16">
        <v>45548</v>
      </c>
      <c r="E75" t="s">
        <v>23</v>
      </c>
      <c r="F75">
        <v>15</v>
      </c>
      <c r="G75" t="s">
        <v>20</v>
      </c>
      <c r="H75" t="s">
        <v>19</v>
      </c>
      <c r="I75">
        <v>30</v>
      </c>
      <c r="J75" t="s">
        <v>19</v>
      </c>
      <c r="K75">
        <v>20</v>
      </c>
      <c r="L75">
        <v>15</v>
      </c>
      <c r="M75">
        <v>50</v>
      </c>
    </row>
    <row r="76" spans="1:13" x14ac:dyDescent="0.35">
      <c r="A76">
        <v>3429</v>
      </c>
      <c r="B76" t="s">
        <v>221</v>
      </c>
      <c r="C76" t="s">
        <v>26</v>
      </c>
      <c r="D76" s="16">
        <v>45546</v>
      </c>
      <c r="E76" t="s">
        <v>23</v>
      </c>
      <c r="F76">
        <v>10</v>
      </c>
      <c r="G76" t="s">
        <v>20</v>
      </c>
      <c r="H76" t="s">
        <v>23</v>
      </c>
      <c r="I76" t="s">
        <v>311</v>
      </c>
      <c r="J76" t="s">
        <v>19</v>
      </c>
      <c r="K76">
        <v>20</v>
      </c>
      <c r="L76">
        <v>10</v>
      </c>
      <c r="M76">
        <v>20</v>
      </c>
    </row>
    <row r="77" spans="1:13" x14ac:dyDescent="0.35">
      <c r="A77">
        <v>3427</v>
      </c>
      <c r="B77" t="s">
        <v>219</v>
      </c>
      <c r="C77" t="s">
        <v>22</v>
      </c>
      <c r="D77" s="16">
        <v>45544</v>
      </c>
      <c r="E77" t="s">
        <v>23</v>
      </c>
      <c r="F77">
        <v>5</v>
      </c>
      <c r="G77" t="s">
        <v>20</v>
      </c>
      <c r="H77" t="s">
        <v>23</v>
      </c>
      <c r="I77" t="s">
        <v>311</v>
      </c>
      <c r="J77" t="s">
        <v>23</v>
      </c>
      <c r="K77">
        <v>0</v>
      </c>
      <c r="L77">
        <v>1</v>
      </c>
      <c r="M77">
        <v>4</v>
      </c>
    </row>
    <row r="78" spans="1:13" x14ac:dyDescent="0.35">
      <c r="A78">
        <v>3425</v>
      </c>
      <c r="B78" t="s">
        <v>218</v>
      </c>
      <c r="C78" t="s">
        <v>18</v>
      </c>
      <c r="D78" s="16">
        <v>45542</v>
      </c>
      <c r="E78" t="s">
        <v>23</v>
      </c>
      <c r="F78">
        <v>15</v>
      </c>
      <c r="G78" t="s">
        <v>20</v>
      </c>
      <c r="H78" t="s">
        <v>19</v>
      </c>
      <c r="I78">
        <v>30</v>
      </c>
      <c r="J78" t="s">
        <v>19</v>
      </c>
      <c r="K78">
        <v>20</v>
      </c>
      <c r="L78">
        <v>20</v>
      </c>
      <c r="M78">
        <v>45</v>
      </c>
    </row>
    <row r="79" spans="1:13" x14ac:dyDescent="0.35">
      <c r="A79">
        <v>3423</v>
      </c>
      <c r="B79" t="s">
        <v>217</v>
      </c>
      <c r="C79" t="s">
        <v>26</v>
      </c>
      <c r="D79" s="16">
        <v>45540</v>
      </c>
      <c r="E79" t="s">
        <v>23</v>
      </c>
      <c r="F79">
        <v>10</v>
      </c>
      <c r="G79" t="s">
        <v>20</v>
      </c>
      <c r="H79" t="s">
        <v>23</v>
      </c>
      <c r="I79" t="s">
        <v>311</v>
      </c>
      <c r="J79" t="s">
        <v>19</v>
      </c>
      <c r="K79">
        <v>20</v>
      </c>
      <c r="L79">
        <v>10</v>
      </c>
      <c r="M79">
        <v>20</v>
      </c>
    </row>
    <row r="80" spans="1:13" x14ac:dyDescent="0.35">
      <c r="A80">
        <v>3421</v>
      </c>
      <c r="B80" t="s">
        <v>44</v>
      </c>
      <c r="C80" t="s">
        <v>22</v>
      </c>
      <c r="D80" s="16">
        <v>45538</v>
      </c>
      <c r="E80" t="s">
        <v>23</v>
      </c>
      <c r="F80">
        <v>5</v>
      </c>
      <c r="G80" t="s">
        <v>20</v>
      </c>
      <c r="H80" t="s">
        <v>23</v>
      </c>
      <c r="I80" t="s">
        <v>311</v>
      </c>
      <c r="J80" t="s">
        <v>23</v>
      </c>
      <c r="K80">
        <v>0</v>
      </c>
      <c r="L80">
        <v>1</v>
      </c>
      <c r="M80">
        <v>4</v>
      </c>
    </row>
    <row r="81" spans="1:13" x14ac:dyDescent="0.35">
      <c r="A81">
        <v>3419</v>
      </c>
      <c r="B81" t="s">
        <v>214</v>
      </c>
      <c r="C81" t="s">
        <v>18</v>
      </c>
      <c r="D81" s="16">
        <v>45536</v>
      </c>
      <c r="E81" t="s">
        <v>23</v>
      </c>
      <c r="F81">
        <v>15</v>
      </c>
      <c r="G81" t="s">
        <v>20</v>
      </c>
      <c r="H81" t="s">
        <v>19</v>
      </c>
      <c r="I81">
        <v>30</v>
      </c>
      <c r="J81" t="s">
        <v>19</v>
      </c>
      <c r="K81">
        <v>20</v>
      </c>
      <c r="L81">
        <v>3</v>
      </c>
      <c r="M81">
        <v>62</v>
      </c>
    </row>
    <row r="82" spans="1:13" x14ac:dyDescent="0.35">
      <c r="A82">
        <v>3417</v>
      </c>
      <c r="B82" t="s">
        <v>212</v>
      </c>
      <c r="C82" t="s">
        <v>26</v>
      </c>
      <c r="D82" s="16">
        <v>45534</v>
      </c>
      <c r="E82" t="s">
        <v>23</v>
      </c>
      <c r="F82">
        <v>10</v>
      </c>
      <c r="G82" t="s">
        <v>20</v>
      </c>
      <c r="H82" t="s">
        <v>23</v>
      </c>
      <c r="I82" t="s">
        <v>311</v>
      </c>
      <c r="J82" t="s">
        <v>19</v>
      </c>
      <c r="K82">
        <v>20</v>
      </c>
      <c r="L82">
        <v>10</v>
      </c>
      <c r="M82">
        <v>20</v>
      </c>
    </row>
    <row r="83" spans="1:13" x14ac:dyDescent="0.35">
      <c r="A83">
        <v>3415</v>
      </c>
      <c r="B83" t="s">
        <v>210</v>
      </c>
      <c r="C83" t="s">
        <v>22</v>
      </c>
      <c r="D83" s="16">
        <v>45532</v>
      </c>
      <c r="E83" t="s">
        <v>23</v>
      </c>
      <c r="F83">
        <v>5</v>
      </c>
      <c r="G83" t="s">
        <v>20</v>
      </c>
      <c r="H83" t="s">
        <v>23</v>
      </c>
      <c r="I83" t="s">
        <v>311</v>
      </c>
      <c r="J83" t="s">
        <v>23</v>
      </c>
      <c r="K83">
        <v>0</v>
      </c>
      <c r="L83">
        <v>2</v>
      </c>
      <c r="M83">
        <v>3</v>
      </c>
    </row>
    <row r="84" spans="1:13" x14ac:dyDescent="0.35">
      <c r="A84">
        <v>3411</v>
      </c>
      <c r="B84" t="s">
        <v>206</v>
      </c>
      <c r="C84" t="s">
        <v>26</v>
      </c>
      <c r="D84" s="16">
        <v>45528</v>
      </c>
      <c r="E84" t="s">
        <v>23</v>
      </c>
      <c r="F84">
        <v>10</v>
      </c>
      <c r="G84" t="s">
        <v>20</v>
      </c>
      <c r="H84" t="s">
        <v>23</v>
      </c>
      <c r="I84" t="s">
        <v>311</v>
      </c>
      <c r="J84" t="s">
        <v>19</v>
      </c>
      <c r="K84">
        <v>20</v>
      </c>
      <c r="L84">
        <v>5</v>
      </c>
      <c r="M84">
        <v>25</v>
      </c>
    </row>
    <row r="85" spans="1:13" x14ac:dyDescent="0.35">
      <c r="A85">
        <v>3405</v>
      </c>
      <c r="B85" t="s">
        <v>200</v>
      </c>
      <c r="C85" t="s">
        <v>22</v>
      </c>
      <c r="D85" s="16">
        <v>45522</v>
      </c>
      <c r="E85" t="s">
        <v>23</v>
      </c>
      <c r="F85">
        <v>5</v>
      </c>
      <c r="G85" t="s">
        <v>20</v>
      </c>
      <c r="H85" t="s">
        <v>23</v>
      </c>
      <c r="I85" t="s">
        <v>311</v>
      </c>
      <c r="J85" t="s">
        <v>23</v>
      </c>
      <c r="K85">
        <v>0</v>
      </c>
      <c r="L85">
        <v>1</v>
      </c>
      <c r="M85">
        <v>4</v>
      </c>
    </row>
    <row r="86" spans="1:13" x14ac:dyDescent="0.35">
      <c r="A86">
        <v>3403</v>
      </c>
      <c r="B86" t="s">
        <v>198</v>
      </c>
      <c r="C86" t="s">
        <v>18</v>
      </c>
      <c r="D86" s="16">
        <v>45520</v>
      </c>
      <c r="E86" t="s">
        <v>23</v>
      </c>
      <c r="F86">
        <v>15</v>
      </c>
      <c r="G86" t="s">
        <v>20</v>
      </c>
      <c r="H86" t="s">
        <v>19</v>
      </c>
      <c r="I86">
        <v>30</v>
      </c>
      <c r="J86" t="s">
        <v>19</v>
      </c>
      <c r="K86">
        <v>20</v>
      </c>
      <c r="L86">
        <v>3</v>
      </c>
      <c r="M86">
        <v>62</v>
      </c>
    </row>
    <row r="87" spans="1:13" x14ac:dyDescent="0.35">
      <c r="A87">
        <v>3401</v>
      </c>
      <c r="B87" t="s">
        <v>196</v>
      </c>
      <c r="C87" t="s">
        <v>26</v>
      </c>
      <c r="D87" s="16">
        <v>45518</v>
      </c>
      <c r="E87" t="s">
        <v>23</v>
      </c>
      <c r="F87">
        <v>10</v>
      </c>
      <c r="G87" t="s">
        <v>20</v>
      </c>
      <c r="H87" t="s">
        <v>23</v>
      </c>
      <c r="I87" t="s">
        <v>311</v>
      </c>
      <c r="J87" t="s">
        <v>19</v>
      </c>
      <c r="K87">
        <v>20</v>
      </c>
      <c r="L87">
        <v>10</v>
      </c>
      <c r="M87">
        <v>20</v>
      </c>
    </row>
    <row r="88" spans="1:13" x14ac:dyDescent="0.35">
      <c r="A88">
        <v>3399</v>
      </c>
      <c r="B88" t="s">
        <v>194</v>
      </c>
      <c r="C88" t="s">
        <v>22</v>
      </c>
      <c r="D88" s="16">
        <v>45516</v>
      </c>
      <c r="E88" t="s">
        <v>23</v>
      </c>
      <c r="F88">
        <v>5</v>
      </c>
      <c r="G88" t="s">
        <v>20</v>
      </c>
      <c r="H88" t="s">
        <v>23</v>
      </c>
      <c r="I88" t="s">
        <v>311</v>
      </c>
      <c r="J88" t="s">
        <v>23</v>
      </c>
      <c r="K88">
        <v>0</v>
      </c>
      <c r="L88">
        <v>1</v>
      </c>
      <c r="M88">
        <v>4</v>
      </c>
    </row>
    <row r="89" spans="1:13" x14ac:dyDescent="0.35">
      <c r="A89">
        <v>3397</v>
      </c>
      <c r="B89" t="s">
        <v>119</v>
      </c>
      <c r="C89" t="s">
        <v>18</v>
      </c>
      <c r="D89" s="16">
        <v>45514</v>
      </c>
      <c r="E89" t="s">
        <v>23</v>
      </c>
      <c r="F89">
        <v>15</v>
      </c>
      <c r="G89" t="s">
        <v>20</v>
      </c>
      <c r="H89" t="s">
        <v>19</v>
      </c>
      <c r="I89">
        <v>30</v>
      </c>
      <c r="J89" t="s">
        <v>19</v>
      </c>
      <c r="K89">
        <v>20</v>
      </c>
      <c r="L89">
        <v>20</v>
      </c>
      <c r="M89">
        <v>45</v>
      </c>
    </row>
    <row r="90" spans="1:13" x14ac:dyDescent="0.35">
      <c r="A90">
        <v>3395</v>
      </c>
      <c r="B90" t="s">
        <v>191</v>
      </c>
      <c r="C90" t="s">
        <v>26</v>
      </c>
      <c r="D90" s="16">
        <v>45512</v>
      </c>
      <c r="E90" t="s">
        <v>23</v>
      </c>
      <c r="F90">
        <v>10</v>
      </c>
      <c r="G90" t="s">
        <v>20</v>
      </c>
      <c r="H90" t="s">
        <v>23</v>
      </c>
      <c r="I90" t="s">
        <v>311</v>
      </c>
      <c r="J90" t="s">
        <v>19</v>
      </c>
      <c r="K90">
        <v>20</v>
      </c>
      <c r="L90">
        <v>10</v>
      </c>
      <c r="M90">
        <v>20</v>
      </c>
    </row>
    <row r="91" spans="1:13" x14ac:dyDescent="0.35">
      <c r="A91">
        <v>3393</v>
      </c>
      <c r="B91" t="s">
        <v>189</v>
      </c>
      <c r="C91" t="s">
        <v>22</v>
      </c>
      <c r="D91" s="16">
        <v>45510</v>
      </c>
      <c r="E91" t="s">
        <v>23</v>
      </c>
      <c r="F91">
        <v>5</v>
      </c>
      <c r="G91" t="s">
        <v>20</v>
      </c>
      <c r="H91" t="s">
        <v>23</v>
      </c>
      <c r="I91" t="s">
        <v>311</v>
      </c>
      <c r="J91" t="s">
        <v>23</v>
      </c>
      <c r="K91">
        <v>0</v>
      </c>
      <c r="L91">
        <v>1</v>
      </c>
      <c r="M91">
        <v>4</v>
      </c>
    </row>
    <row r="92" spans="1:13" x14ac:dyDescent="0.35">
      <c r="A92">
        <v>3391</v>
      </c>
      <c r="B92" t="s">
        <v>87</v>
      </c>
      <c r="C92" t="s">
        <v>18</v>
      </c>
      <c r="D92" s="16">
        <v>45508</v>
      </c>
      <c r="E92" t="s">
        <v>23</v>
      </c>
      <c r="F92">
        <v>15</v>
      </c>
      <c r="G92" t="s">
        <v>20</v>
      </c>
      <c r="H92" t="s">
        <v>19</v>
      </c>
      <c r="I92">
        <v>30</v>
      </c>
      <c r="J92" t="s">
        <v>19</v>
      </c>
      <c r="K92">
        <v>20</v>
      </c>
      <c r="L92">
        <v>15</v>
      </c>
      <c r="M92">
        <v>50</v>
      </c>
    </row>
    <row r="93" spans="1:13" x14ac:dyDescent="0.35">
      <c r="A93">
        <v>3389</v>
      </c>
      <c r="B93" t="s">
        <v>186</v>
      </c>
      <c r="C93" t="s">
        <v>26</v>
      </c>
      <c r="D93" s="16">
        <v>45506</v>
      </c>
      <c r="E93" t="s">
        <v>23</v>
      </c>
      <c r="F93">
        <v>10</v>
      </c>
      <c r="G93" t="s">
        <v>20</v>
      </c>
      <c r="H93" t="s">
        <v>23</v>
      </c>
      <c r="I93" t="s">
        <v>311</v>
      </c>
      <c r="J93" t="s">
        <v>19</v>
      </c>
      <c r="K93">
        <v>20</v>
      </c>
      <c r="L93">
        <v>10</v>
      </c>
      <c r="M93">
        <v>20</v>
      </c>
    </row>
    <row r="94" spans="1:13" x14ac:dyDescent="0.35">
      <c r="A94">
        <v>3387</v>
      </c>
      <c r="B94" t="s">
        <v>184</v>
      </c>
      <c r="C94" t="s">
        <v>22</v>
      </c>
      <c r="D94" s="16">
        <v>45504</v>
      </c>
      <c r="E94" t="s">
        <v>23</v>
      </c>
      <c r="F94">
        <v>5</v>
      </c>
      <c r="G94" t="s">
        <v>20</v>
      </c>
      <c r="H94" t="s">
        <v>23</v>
      </c>
      <c r="I94" t="s">
        <v>311</v>
      </c>
      <c r="J94" t="s">
        <v>23</v>
      </c>
      <c r="K94">
        <v>0</v>
      </c>
      <c r="L94">
        <v>1</v>
      </c>
      <c r="M94">
        <v>4</v>
      </c>
    </row>
    <row r="95" spans="1:13" x14ac:dyDescent="0.35">
      <c r="A95">
        <v>3385</v>
      </c>
      <c r="B95" t="s">
        <v>182</v>
      </c>
      <c r="C95" t="s">
        <v>18</v>
      </c>
      <c r="D95" s="16">
        <v>45502</v>
      </c>
      <c r="E95" t="s">
        <v>23</v>
      </c>
      <c r="F95">
        <v>15</v>
      </c>
      <c r="G95" t="s">
        <v>20</v>
      </c>
      <c r="H95" t="s">
        <v>19</v>
      </c>
      <c r="I95">
        <v>30</v>
      </c>
      <c r="J95" t="s">
        <v>19</v>
      </c>
      <c r="K95">
        <v>20</v>
      </c>
      <c r="L95">
        <v>20</v>
      </c>
      <c r="M95">
        <v>45</v>
      </c>
    </row>
    <row r="96" spans="1:13" x14ac:dyDescent="0.35">
      <c r="A96">
        <v>3383</v>
      </c>
      <c r="B96" t="s">
        <v>180</v>
      </c>
      <c r="C96" t="s">
        <v>26</v>
      </c>
      <c r="D96" s="16">
        <v>45500</v>
      </c>
      <c r="E96" t="s">
        <v>23</v>
      </c>
      <c r="F96">
        <v>10</v>
      </c>
      <c r="G96" t="s">
        <v>20</v>
      </c>
      <c r="H96" t="s">
        <v>23</v>
      </c>
      <c r="I96" t="s">
        <v>311</v>
      </c>
      <c r="J96" t="s">
        <v>19</v>
      </c>
      <c r="K96">
        <v>20</v>
      </c>
      <c r="L96">
        <v>10</v>
      </c>
      <c r="M96">
        <v>20</v>
      </c>
    </row>
    <row r="97" spans="1:13" x14ac:dyDescent="0.35">
      <c r="A97">
        <v>3381</v>
      </c>
      <c r="B97" t="s">
        <v>178</v>
      </c>
      <c r="C97" t="s">
        <v>22</v>
      </c>
      <c r="D97" s="16">
        <v>45498</v>
      </c>
      <c r="E97" t="s">
        <v>23</v>
      </c>
      <c r="F97">
        <v>5</v>
      </c>
      <c r="G97" t="s">
        <v>20</v>
      </c>
      <c r="H97" t="s">
        <v>23</v>
      </c>
      <c r="I97" t="s">
        <v>311</v>
      </c>
      <c r="J97" t="s">
        <v>23</v>
      </c>
      <c r="K97">
        <v>0</v>
      </c>
      <c r="L97">
        <v>1</v>
      </c>
      <c r="M97">
        <v>4</v>
      </c>
    </row>
    <row r="98" spans="1:13" x14ac:dyDescent="0.35">
      <c r="A98">
        <v>3379</v>
      </c>
      <c r="B98" t="s">
        <v>176</v>
      </c>
      <c r="C98" t="s">
        <v>18</v>
      </c>
      <c r="D98" s="16">
        <v>45496</v>
      </c>
      <c r="E98" t="s">
        <v>23</v>
      </c>
      <c r="F98">
        <v>15</v>
      </c>
      <c r="G98" t="s">
        <v>20</v>
      </c>
      <c r="H98" t="s">
        <v>19</v>
      </c>
      <c r="I98">
        <v>30</v>
      </c>
      <c r="J98" t="s">
        <v>19</v>
      </c>
      <c r="K98">
        <v>20</v>
      </c>
      <c r="L98">
        <v>3</v>
      </c>
      <c r="M98">
        <v>62</v>
      </c>
    </row>
    <row r="99" spans="1:13" x14ac:dyDescent="0.35">
      <c r="A99">
        <v>3377</v>
      </c>
      <c r="B99" t="s">
        <v>174</v>
      </c>
      <c r="C99" t="s">
        <v>26</v>
      </c>
      <c r="D99" s="16">
        <v>45494</v>
      </c>
      <c r="E99" t="s">
        <v>23</v>
      </c>
      <c r="F99">
        <v>10</v>
      </c>
      <c r="G99" t="s">
        <v>20</v>
      </c>
      <c r="H99" t="s">
        <v>23</v>
      </c>
      <c r="I99" t="s">
        <v>311</v>
      </c>
      <c r="J99" t="s">
        <v>19</v>
      </c>
      <c r="K99">
        <v>20</v>
      </c>
      <c r="L99">
        <v>10</v>
      </c>
      <c r="M99">
        <v>20</v>
      </c>
    </row>
    <row r="100" spans="1:13" x14ac:dyDescent="0.35">
      <c r="A100">
        <v>3375</v>
      </c>
      <c r="B100" t="s">
        <v>172</v>
      </c>
      <c r="C100" t="s">
        <v>22</v>
      </c>
      <c r="D100" s="16">
        <v>45492</v>
      </c>
      <c r="E100" t="s">
        <v>23</v>
      </c>
      <c r="F100">
        <v>5</v>
      </c>
      <c r="G100" t="s">
        <v>20</v>
      </c>
      <c r="H100" t="s">
        <v>23</v>
      </c>
      <c r="I100" t="s">
        <v>311</v>
      </c>
      <c r="J100" t="s">
        <v>23</v>
      </c>
      <c r="K100">
        <v>0</v>
      </c>
      <c r="L100">
        <v>2</v>
      </c>
      <c r="M100">
        <v>3</v>
      </c>
    </row>
    <row r="101" spans="1:13" x14ac:dyDescent="0.35">
      <c r="A101">
        <v>3371</v>
      </c>
      <c r="B101" t="s">
        <v>168</v>
      </c>
      <c r="C101" t="s">
        <v>26</v>
      </c>
      <c r="D101" s="16">
        <v>45488</v>
      </c>
      <c r="E101" t="s">
        <v>23</v>
      </c>
      <c r="F101">
        <v>10</v>
      </c>
      <c r="G101" t="s">
        <v>20</v>
      </c>
      <c r="H101" t="s">
        <v>23</v>
      </c>
      <c r="I101" t="s">
        <v>311</v>
      </c>
      <c r="J101" t="s">
        <v>19</v>
      </c>
      <c r="K101">
        <v>20</v>
      </c>
      <c r="L101">
        <v>5</v>
      </c>
      <c r="M101">
        <v>25</v>
      </c>
    </row>
    <row r="102" spans="1:13" x14ac:dyDescent="0.35">
      <c r="A102">
        <v>3365</v>
      </c>
      <c r="B102" t="s">
        <v>162</v>
      </c>
      <c r="C102" t="s">
        <v>26</v>
      </c>
      <c r="D102" s="16">
        <v>45482</v>
      </c>
      <c r="E102" t="s">
        <v>23</v>
      </c>
      <c r="F102">
        <v>10</v>
      </c>
      <c r="G102" t="s">
        <v>20</v>
      </c>
      <c r="H102" t="s">
        <v>23</v>
      </c>
      <c r="I102" t="s">
        <v>311</v>
      </c>
      <c r="J102" t="s">
        <v>19</v>
      </c>
      <c r="K102">
        <v>20</v>
      </c>
      <c r="L102">
        <v>10</v>
      </c>
      <c r="M102">
        <v>20</v>
      </c>
    </row>
    <row r="103" spans="1:13" x14ac:dyDescent="0.35">
      <c r="A103">
        <v>3330</v>
      </c>
      <c r="B103" t="s">
        <v>128</v>
      </c>
      <c r="C103" t="s">
        <v>18</v>
      </c>
      <c r="D103" s="16">
        <v>45447</v>
      </c>
      <c r="E103" t="s">
        <v>23</v>
      </c>
      <c r="F103">
        <v>15</v>
      </c>
      <c r="G103" t="s">
        <v>20</v>
      </c>
      <c r="H103" t="s">
        <v>19</v>
      </c>
      <c r="I103">
        <v>30</v>
      </c>
      <c r="J103" t="s">
        <v>19</v>
      </c>
      <c r="K103">
        <v>20</v>
      </c>
      <c r="L103">
        <v>15</v>
      </c>
      <c r="M103">
        <v>50</v>
      </c>
    </row>
    <row r="104" spans="1:13" x14ac:dyDescent="0.35">
      <c r="A104">
        <v>3363</v>
      </c>
      <c r="B104" t="s">
        <v>160</v>
      </c>
      <c r="C104" t="s">
        <v>22</v>
      </c>
      <c r="D104" s="16">
        <v>45480</v>
      </c>
      <c r="E104" t="s">
        <v>23</v>
      </c>
      <c r="F104">
        <v>5</v>
      </c>
      <c r="G104" t="s">
        <v>20</v>
      </c>
      <c r="H104" t="s">
        <v>23</v>
      </c>
      <c r="I104" t="s">
        <v>311</v>
      </c>
      <c r="J104" t="s">
        <v>23</v>
      </c>
      <c r="K104">
        <v>0</v>
      </c>
      <c r="L104">
        <v>1</v>
      </c>
      <c r="M104">
        <v>4</v>
      </c>
    </row>
    <row r="105" spans="1:13" x14ac:dyDescent="0.35">
      <c r="A105">
        <v>3361</v>
      </c>
      <c r="B105" t="s">
        <v>158</v>
      </c>
      <c r="C105" t="s">
        <v>18</v>
      </c>
      <c r="D105" s="16">
        <v>45478</v>
      </c>
      <c r="E105" t="s">
        <v>23</v>
      </c>
      <c r="F105">
        <v>15</v>
      </c>
      <c r="G105" t="s">
        <v>20</v>
      </c>
      <c r="H105" t="s">
        <v>19</v>
      </c>
      <c r="I105">
        <v>30</v>
      </c>
      <c r="J105" t="s">
        <v>19</v>
      </c>
      <c r="K105">
        <v>20</v>
      </c>
      <c r="L105">
        <v>15</v>
      </c>
      <c r="M105">
        <v>50</v>
      </c>
    </row>
    <row r="106" spans="1:13" x14ac:dyDescent="0.35">
      <c r="A106">
        <v>3359</v>
      </c>
      <c r="B106" t="s">
        <v>156</v>
      </c>
      <c r="C106" t="s">
        <v>26</v>
      </c>
      <c r="D106" s="16">
        <v>45476</v>
      </c>
      <c r="E106" t="s">
        <v>23</v>
      </c>
      <c r="F106">
        <v>10</v>
      </c>
      <c r="G106" t="s">
        <v>20</v>
      </c>
      <c r="H106" t="s">
        <v>23</v>
      </c>
      <c r="I106" t="s">
        <v>311</v>
      </c>
      <c r="J106" t="s">
        <v>19</v>
      </c>
      <c r="K106">
        <v>20</v>
      </c>
      <c r="L106">
        <v>10</v>
      </c>
      <c r="M106">
        <v>20</v>
      </c>
    </row>
    <row r="107" spans="1:13" x14ac:dyDescent="0.35">
      <c r="A107">
        <v>3357</v>
      </c>
      <c r="B107" t="s">
        <v>154</v>
      </c>
      <c r="C107" t="s">
        <v>22</v>
      </c>
      <c r="D107" s="16">
        <v>45474</v>
      </c>
      <c r="E107" t="s">
        <v>23</v>
      </c>
      <c r="F107">
        <v>5</v>
      </c>
      <c r="G107" t="s">
        <v>20</v>
      </c>
      <c r="H107" t="s">
        <v>23</v>
      </c>
      <c r="I107" t="s">
        <v>311</v>
      </c>
      <c r="J107" t="s">
        <v>23</v>
      </c>
      <c r="K107">
        <v>0</v>
      </c>
      <c r="L107">
        <v>1</v>
      </c>
      <c r="M107">
        <v>4</v>
      </c>
    </row>
    <row r="108" spans="1:13" x14ac:dyDescent="0.35">
      <c r="A108">
        <v>3355</v>
      </c>
      <c r="B108" t="s">
        <v>152</v>
      </c>
      <c r="C108" t="s">
        <v>18</v>
      </c>
      <c r="D108" s="16">
        <v>45472</v>
      </c>
      <c r="E108" t="s">
        <v>23</v>
      </c>
      <c r="F108">
        <v>15</v>
      </c>
      <c r="G108" t="s">
        <v>20</v>
      </c>
      <c r="H108" t="s">
        <v>19</v>
      </c>
      <c r="I108">
        <v>30</v>
      </c>
      <c r="J108" t="s">
        <v>19</v>
      </c>
      <c r="K108">
        <v>20</v>
      </c>
      <c r="L108">
        <v>20</v>
      </c>
      <c r="M108">
        <v>45</v>
      </c>
    </row>
    <row r="109" spans="1:13" x14ac:dyDescent="0.35">
      <c r="A109">
        <v>3353</v>
      </c>
      <c r="B109" t="s">
        <v>150</v>
      </c>
      <c r="C109" t="s">
        <v>26</v>
      </c>
      <c r="D109" s="16">
        <v>45470</v>
      </c>
      <c r="E109" t="s">
        <v>23</v>
      </c>
      <c r="F109">
        <v>10</v>
      </c>
      <c r="G109" t="s">
        <v>20</v>
      </c>
      <c r="H109" t="s">
        <v>23</v>
      </c>
      <c r="I109" t="s">
        <v>311</v>
      </c>
      <c r="J109" t="s">
        <v>19</v>
      </c>
      <c r="K109">
        <v>20</v>
      </c>
      <c r="L109">
        <v>10</v>
      </c>
      <c r="M109">
        <v>20</v>
      </c>
    </row>
    <row r="110" spans="1:13" x14ac:dyDescent="0.35">
      <c r="A110">
        <v>3351</v>
      </c>
      <c r="B110" t="s">
        <v>148</v>
      </c>
      <c r="C110" t="s">
        <v>22</v>
      </c>
      <c r="D110" s="16">
        <v>45468</v>
      </c>
      <c r="E110" t="s">
        <v>23</v>
      </c>
      <c r="F110">
        <v>5</v>
      </c>
      <c r="G110" t="s">
        <v>20</v>
      </c>
      <c r="H110" t="s">
        <v>23</v>
      </c>
      <c r="I110" t="s">
        <v>311</v>
      </c>
      <c r="J110" t="s">
        <v>23</v>
      </c>
      <c r="K110">
        <v>0</v>
      </c>
      <c r="L110">
        <v>1</v>
      </c>
      <c r="M110">
        <v>4</v>
      </c>
    </row>
    <row r="111" spans="1:13" x14ac:dyDescent="0.35">
      <c r="A111">
        <v>3349</v>
      </c>
      <c r="B111" t="s">
        <v>122</v>
      </c>
      <c r="C111" t="s">
        <v>18</v>
      </c>
      <c r="D111" s="16">
        <v>45466</v>
      </c>
      <c r="E111" t="s">
        <v>23</v>
      </c>
      <c r="F111">
        <v>15</v>
      </c>
      <c r="G111" t="s">
        <v>20</v>
      </c>
      <c r="H111" t="s">
        <v>19</v>
      </c>
      <c r="I111">
        <v>30</v>
      </c>
      <c r="J111" t="s">
        <v>19</v>
      </c>
      <c r="K111">
        <v>20</v>
      </c>
      <c r="L111">
        <v>3</v>
      </c>
      <c r="M111">
        <v>62</v>
      </c>
    </row>
    <row r="112" spans="1:13" x14ac:dyDescent="0.35">
      <c r="A112">
        <v>3347</v>
      </c>
      <c r="B112" t="s">
        <v>145</v>
      </c>
      <c r="C112" t="s">
        <v>26</v>
      </c>
      <c r="D112" s="16">
        <v>45464</v>
      </c>
      <c r="E112" t="s">
        <v>23</v>
      </c>
      <c r="F112">
        <v>10</v>
      </c>
      <c r="G112" t="s">
        <v>20</v>
      </c>
      <c r="H112" t="s">
        <v>23</v>
      </c>
      <c r="I112" t="s">
        <v>311</v>
      </c>
      <c r="J112" t="s">
        <v>19</v>
      </c>
      <c r="K112">
        <v>20</v>
      </c>
      <c r="L112">
        <v>10</v>
      </c>
      <c r="M112">
        <v>20</v>
      </c>
    </row>
    <row r="113" spans="1:13" x14ac:dyDescent="0.35">
      <c r="A113">
        <v>3345</v>
      </c>
      <c r="B113" t="s">
        <v>143</v>
      </c>
      <c r="C113" t="s">
        <v>22</v>
      </c>
      <c r="D113" s="16">
        <v>45462</v>
      </c>
      <c r="E113" t="s">
        <v>23</v>
      </c>
      <c r="F113">
        <v>5</v>
      </c>
      <c r="G113" t="s">
        <v>20</v>
      </c>
      <c r="H113" t="s">
        <v>23</v>
      </c>
      <c r="I113" t="s">
        <v>311</v>
      </c>
      <c r="J113" t="s">
        <v>23</v>
      </c>
      <c r="K113">
        <v>0</v>
      </c>
      <c r="L113">
        <v>2</v>
      </c>
      <c r="M113">
        <v>3</v>
      </c>
    </row>
    <row r="114" spans="1:13" x14ac:dyDescent="0.35">
      <c r="A114">
        <v>3341</v>
      </c>
      <c r="B114" t="s">
        <v>139</v>
      </c>
      <c r="C114" t="s">
        <v>26</v>
      </c>
      <c r="D114" s="16">
        <v>45458</v>
      </c>
      <c r="E114" t="s">
        <v>23</v>
      </c>
      <c r="F114">
        <v>10</v>
      </c>
      <c r="G114" t="s">
        <v>20</v>
      </c>
      <c r="H114" t="s">
        <v>23</v>
      </c>
      <c r="I114" t="s">
        <v>311</v>
      </c>
      <c r="J114" t="s">
        <v>19</v>
      </c>
      <c r="K114">
        <v>20</v>
      </c>
      <c r="L114">
        <v>5</v>
      </c>
      <c r="M114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E34"/>
  <sheetViews>
    <sheetView showGridLines="0" topLeftCell="A20" workbookViewId="0">
      <selection activeCell="D34" sqref="D34"/>
    </sheetView>
  </sheetViews>
  <sheetFormatPr defaultRowHeight="14.5" x14ac:dyDescent="0.35"/>
  <cols>
    <col min="1" max="1" width="17" bestFit="1" customWidth="1"/>
    <col min="2" max="2" width="32.1796875" bestFit="1" customWidth="1"/>
    <col min="3" max="3" width="18.45312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1:5" x14ac:dyDescent="0.35">
      <c r="B2" s="15" t="s">
        <v>317</v>
      </c>
      <c r="C2" s="15"/>
      <c r="D2" s="15"/>
      <c r="E2" s="15"/>
    </row>
    <row r="4" spans="1:5" x14ac:dyDescent="0.35">
      <c r="B4" t="s">
        <v>318</v>
      </c>
    </row>
    <row r="5" spans="1:5" x14ac:dyDescent="0.35">
      <c r="B5" t="s">
        <v>319</v>
      </c>
    </row>
    <row r="7" spans="1:5" x14ac:dyDescent="0.35">
      <c r="A7" s="12" t="s">
        <v>16</v>
      </c>
      <c r="B7" t="s">
        <v>20</v>
      </c>
    </row>
    <row r="9" spans="1:5" x14ac:dyDescent="0.35">
      <c r="A9" s="12" t="s">
        <v>313</v>
      </c>
      <c r="B9" t="s">
        <v>316</v>
      </c>
    </row>
    <row r="10" spans="1:5" x14ac:dyDescent="0.35">
      <c r="A10" s="13" t="s">
        <v>23</v>
      </c>
      <c r="B10" s="14">
        <v>2824</v>
      </c>
    </row>
    <row r="11" spans="1:5" x14ac:dyDescent="0.35">
      <c r="A11" s="13" t="s">
        <v>19</v>
      </c>
      <c r="B11" s="14">
        <v>747</v>
      </c>
    </row>
    <row r="12" spans="1:5" x14ac:dyDescent="0.35">
      <c r="A12" s="13" t="s">
        <v>314</v>
      </c>
      <c r="B12" s="14">
        <v>3571</v>
      </c>
    </row>
    <row r="15" spans="1:5" x14ac:dyDescent="0.35">
      <c r="A15" s="13" t="s">
        <v>320</v>
      </c>
    </row>
    <row r="17" spans="1:4" x14ac:dyDescent="0.35">
      <c r="A17" s="12" t="s">
        <v>16</v>
      </c>
      <c r="B17" t="s">
        <v>20</v>
      </c>
    </row>
    <row r="19" spans="1:4" x14ac:dyDescent="0.35">
      <c r="A19" s="12" t="s">
        <v>313</v>
      </c>
      <c r="B19" t="s">
        <v>322</v>
      </c>
    </row>
    <row r="20" spans="1:4" x14ac:dyDescent="0.35">
      <c r="A20" s="13" t="s">
        <v>22</v>
      </c>
      <c r="B20" s="18">
        <v>0</v>
      </c>
    </row>
    <row r="21" spans="1:4" x14ac:dyDescent="0.35">
      <c r="A21" s="13" t="s">
        <v>26</v>
      </c>
      <c r="B21" s="18">
        <v>0</v>
      </c>
    </row>
    <row r="22" spans="1:4" x14ac:dyDescent="0.35">
      <c r="A22" s="13" t="s">
        <v>18</v>
      </c>
      <c r="B22" s="18">
        <v>1350</v>
      </c>
    </row>
    <row r="23" spans="1:4" x14ac:dyDescent="0.35">
      <c r="A23" s="13" t="s">
        <v>314</v>
      </c>
      <c r="B23" s="18">
        <v>1350</v>
      </c>
      <c r="D23" s="19">
        <f>GETPIVOTDATA("EA Play Season Pass
Price",$A$19)</f>
        <v>1350</v>
      </c>
    </row>
    <row r="26" spans="1:4" x14ac:dyDescent="0.35">
      <c r="A26" s="13" t="s">
        <v>323</v>
      </c>
    </row>
    <row r="28" spans="1:4" x14ac:dyDescent="0.35">
      <c r="A28" s="12" t="s">
        <v>16</v>
      </c>
      <c r="B28" t="s">
        <v>20</v>
      </c>
    </row>
    <row r="30" spans="1:4" x14ac:dyDescent="0.35">
      <c r="A30" s="12" t="s">
        <v>313</v>
      </c>
      <c r="B30" t="s">
        <v>315</v>
      </c>
    </row>
    <row r="31" spans="1:4" x14ac:dyDescent="0.35">
      <c r="A31" s="13" t="s">
        <v>22</v>
      </c>
      <c r="B31" s="14">
        <v>0</v>
      </c>
    </row>
    <row r="32" spans="1:4" x14ac:dyDescent="0.35">
      <c r="A32" s="13" t="s">
        <v>26</v>
      </c>
      <c r="B32" s="14">
        <v>900</v>
      </c>
    </row>
    <row r="33" spans="1:4" x14ac:dyDescent="0.35">
      <c r="A33" s="13" t="s">
        <v>18</v>
      </c>
      <c r="B33" s="14">
        <v>900</v>
      </c>
    </row>
    <row r="34" spans="1:4" x14ac:dyDescent="0.35">
      <c r="A34" s="13" t="s">
        <v>314</v>
      </c>
      <c r="B34" s="14">
        <v>1800</v>
      </c>
      <c r="D34" s="19">
        <f>GETPIVOTDATA("Minecraft Season Pass Price",$A$30)</f>
        <v>1800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80"/>
  <sheetViews>
    <sheetView showGridLines="0" showRowColHeaders="0" tabSelected="1" zoomScale="80" zoomScaleNormal="80" workbookViewId="0">
      <selection activeCell="A18" sqref="A18"/>
    </sheetView>
  </sheetViews>
  <sheetFormatPr defaultRowHeight="14.5" x14ac:dyDescent="0.35"/>
  <cols>
    <col min="1" max="1" width="27.6328125" style="4" customWidth="1"/>
    <col min="2" max="2" width="3.54296875" style="7" customWidth="1"/>
    <col min="3" max="11" width="8.7265625" style="7"/>
    <col min="12" max="12" width="6.54296875" style="7" customWidth="1"/>
    <col min="13" max="16384" width="8.7265625" style="7"/>
  </cols>
  <sheetData>
    <row r="1" spans="1:26" customFormat="1" x14ac:dyDescent="0.35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customFormat="1" ht="24" thickBot="1" x14ac:dyDescent="0.6">
      <c r="A2" s="23"/>
      <c r="B2" s="24"/>
      <c r="C2" s="21" t="s">
        <v>324</v>
      </c>
      <c r="D2" s="20"/>
      <c r="E2" s="20"/>
      <c r="F2" s="20"/>
      <c r="G2" s="20"/>
      <c r="H2" s="20"/>
      <c r="I2" s="20"/>
      <c r="J2" s="20"/>
      <c r="K2" s="25"/>
      <c r="L2" s="25"/>
      <c r="M2" s="25"/>
      <c r="N2" s="25"/>
      <c r="O2" s="25"/>
      <c r="P2" s="26"/>
      <c r="Q2" s="26"/>
      <c r="R2" s="27"/>
      <c r="S2" s="26"/>
      <c r="T2" s="26"/>
      <c r="U2" s="26"/>
      <c r="V2" s="26"/>
      <c r="W2" s="26"/>
      <c r="X2" s="24"/>
      <c r="Y2" s="24"/>
      <c r="Z2" s="24"/>
    </row>
    <row r="3" spans="1:26" customFormat="1" ht="39" customHeight="1" thickTop="1" x14ac:dyDescent="0.35">
      <c r="A3" s="23"/>
      <c r="B3" s="24"/>
      <c r="C3" s="28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x14ac:dyDescent="0.35">
      <c r="A4" s="23"/>
      <c r="B4" s="29"/>
      <c r="C4" s="30" t="s">
        <v>326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35">
      <c r="A5" s="23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5">
      <c r="A6" s="22" t="s">
        <v>325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9.75" customHeight="1" x14ac:dyDescent="0.35">
      <c r="A7" s="23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3" customHeight="1" x14ac:dyDescent="0.35">
      <c r="A8" s="23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35">
      <c r="A9" s="23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35">
      <c r="A10" s="23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35">
      <c r="A11" s="23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35">
      <c r="A12" s="23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35">
      <c r="A13" s="23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35">
      <c r="A14" s="23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35">
      <c r="A15" s="2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35">
      <c r="A16" s="23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35">
      <c r="A17" s="23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35">
      <c r="A18" s="23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35">
      <c r="A19" s="23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35">
      <c r="A20" s="23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35">
      <c r="A21" s="23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35">
      <c r="A22" s="23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35">
      <c r="A23" s="23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35">
      <c r="A24" s="23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35">
      <c r="A25" s="23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35">
      <c r="A26" s="23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35">
      <c r="A27" s="23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35">
      <c r="A28" s="23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35">
      <c r="A29" s="23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35">
      <c r="A30" s="23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35">
      <c r="A31" s="23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35">
      <c r="A32" s="23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35">
      <c r="A33" s="23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35">
      <c r="A34" s="23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35">
      <c r="A35" s="23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35">
      <c r="A36" s="23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35">
      <c r="A37" s="23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35">
      <c r="A38" s="23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35">
      <c r="A39" s="23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35">
      <c r="A40" s="23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35">
      <c r="A41" s="23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35">
      <c r="A42" s="23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35">
      <c r="A43" s="23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35">
      <c r="A44" s="23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35">
      <c r="A45" s="23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35">
      <c r="A46" s="23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35">
      <c r="A47" s="23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35">
      <c r="A48" s="23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35">
      <c r="A49" s="23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35">
      <c r="A50" s="23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35">
      <c r="A51" s="23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35">
      <c r="A52" s="23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35">
      <c r="A53" s="23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35">
      <c r="A54" s="23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35">
      <c r="A55" s="23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35">
      <c r="A56" s="23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35">
      <c r="A57" s="23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35">
      <c r="A58" s="23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35">
      <c r="A59" s="23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35">
      <c r="A60" s="23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35">
      <c r="A61" s="23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35">
      <c r="A62" s="23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35">
      <c r="A63" s="23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35">
      <c r="A64" s="23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35">
      <c r="A65" s="23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35">
      <c r="A66" s="23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35">
      <c r="A67" s="23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35">
      <c r="A68" s="23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35">
      <c r="A69" s="23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35">
      <c r="A70" s="23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35">
      <c r="A71" s="23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35">
      <c r="A72" s="23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35">
      <c r="A73" s="23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35">
      <c r="A74" s="23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35">
      <c r="A75" s="23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35">
      <c r="A76" s="23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35">
      <c r="A77" s="23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35">
      <c r="A78" s="23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35">
      <c r="A79" s="23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35">
      <c r="A80" s="23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Fernando Ferreira dos Santos</cp:lastModifiedBy>
  <dcterms:created xsi:type="dcterms:W3CDTF">2024-12-19T13:13:10Z</dcterms:created>
  <dcterms:modified xsi:type="dcterms:W3CDTF">2026-10-15T18:20:16Z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